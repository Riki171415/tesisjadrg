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BIKES-KEMKES\Downloads\mdc\"/>
    </mc:Choice>
  </mc:AlternateContent>
  <xr:revisionPtr revIDLastSave="0" documentId="8_{5171A044-7943-4AE8-A81E-1B4B1B806A4B}" xr6:coauthVersionLast="47" xr6:coauthVersionMax="47" xr10:uidLastSave="{00000000-0000-0000-0000-000000000000}"/>
  <bookViews>
    <workbookView xWindow="-96" yWindow="-96" windowWidth="23232" windowHeight="13872" xr2:uid="{136510A8-C5C5-45C3-AC7E-243058D75FC7}"/>
  </bookViews>
  <sheets>
    <sheet name="ICD 10" sheetId="1" r:id="rId1"/>
    <sheet name="ICD9C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</calcChain>
</file>

<file path=xl/sharedStrings.xml><?xml version="1.0" encoding="utf-8"?>
<sst xmlns="http://schemas.openxmlformats.org/spreadsheetml/2006/main" count="7071" uniqueCount="2862">
  <si>
    <t>Cluster Code</t>
  </si>
  <si>
    <t>Cluster Description</t>
  </si>
  <si>
    <t>ICD10 Code</t>
  </si>
  <si>
    <t>ICD10 Description</t>
  </si>
  <si>
    <t>Traumatic cerebral oedema, without open intracranial wound</t>
  </si>
  <si>
    <t>Traumatic cerebral oedema, with open intracranial wound</t>
  </si>
  <si>
    <t>Diffuse brain injury</t>
  </si>
  <si>
    <t>Diffuse brain injury, without open intracranial wound</t>
  </si>
  <si>
    <t>Diffuse brain injury, with open intracranial wound</t>
  </si>
  <si>
    <t>Focal brain injury</t>
  </si>
  <si>
    <t>Focal brain injury, without open intracranial wound</t>
  </si>
  <si>
    <t>Focal brain injury, with open intracranial wound</t>
  </si>
  <si>
    <t>Epidural haemorrhage</t>
  </si>
  <si>
    <t>Epidural haemorrhage, without open intracranial wound</t>
  </si>
  <si>
    <t>Epidural haemorrhage, with open intracranial wound</t>
  </si>
  <si>
    <t>Traumatic subdural haemorrhage</t>
  </si>
  <si>
    <t>Traumatic subdural haemorrhage, without open intracranial wound</t>
  </si>
  <si>
    <t>Traumatic subdural haemorrhage, with open intracranial wound</t>
  </si>
  <si>
    <t>Traumatic subarachnoid haemorrhage</t>
  </si>
  <si>
    <t>Traumatic subarachnoid haemorrhage, without open intracranial wound</t>
  </si>
  <si>
    <t>Traumatic subarachnoid haemorrhage, with open intracranial wound</t>
  </si>
  <si>
    <t>Intracranial injury with prolonged coma</t>
  </si>
  <si>
    <t>Intracranial injury with prolonged coma, without open intracranial wound</t>
  </si>
  <si>
    <t>Intracranial injury with prolonged coma, with open intracranial wound</t>
  </si>
  <si>
    <t>Other intracranial injuries</t>
  </si>
  <si>
    <t>Other intracranial injuries, without open intracranial wound</t>
  </si>
  <si>
    <t>Other intracranial injuries, with open intracranial wound</t>
  </si>
  <si>
    <t>Injury of carotid artery</t>
  </si>
  <si>
    <t>Injury of vertebral artery</t>
  </si>
  <si>
    <t>Injury of external jugular vein</t>
  </si>
  <si>
    <t>Injury of internal jugular vein</t>
  </si>
  <si>
    <t>Injuries of brain and cranial nerve with injuries of nerves and spinal cord neck level</t>
  </si>
  <si>
    <t>Open wound involving larynx and trachea</t>
  </si>
  <si>
    <t>Open wound involving pharynx and cervical oesophagus</t>
  </si>
  <si>
    <t>Fracture of sternum, open</t>
  </si>
  <si>
    <t>Multiple fractures of ribs, open</t>
  </si>
  <si>
    <t>Flail chest</t>
  </si>
  <si>
    <t>Flail chest, closed</t>
  </si>
  <si>
    <t>Flail chest, open</t>
  </si>
  <si>
    <t>Fracture of other parts of bony thorax, open</t>
  </si>
  <si>
    <t>Injury of thoracic aorta</t>
  </si>
  <si>
    <t>Injury of innominate or subclavian artery</t>
  </si>
  <si>
    <t>Injury of superior vena cava</t>
  </si>
  <si>
    <t>Injury of innominate or subclavian vein</t>
  </si>
  <si>
    <t>Injury of pulmonary blood vessels</t>
  </si>
  <si>
    <t>Injury of multiple blood vessels of thorax</t>
  </si>
  <si>
    <t>Injury of heart with haemopericardium</t>
  </si>
  <si>
    <t>Injury of heart with haemopericardium, without open wound into thoracic cavity</t>
  </si>
  <si>
    <t>Injury of heart with haemopericardium, with open wound into thoracic cavity</t>
  </si>
  <si>
    <t>Other injuries of heart</t>
  </si>
  <si>
    <t>Other injuries of heart, without open wound into thoracic cavity</t>
  </si>
  <si>
    <t>Other injuries of heart, with open wound into thoracic cavity</t>
  </si>
  <si>
    <t>Injury of heart, unspecified</t>
  </si>
  <si>
    <t>Injury of heart, unspecified, withoutopen wound into thoracic cavity</t>
  </si>
  <si>
    <t>Injury of heart, unspecified, with open wound into thoracic cavity</t>
  </si>
  <si>
    <t>Traumatic pneumothorax</t>
  </si>
  <si>
    <t>Traumatic pneumothorax, without open wound into thoracic cavity</t>
  </si>
  <si>
    <t>Traumatic pneumothorax, with open wound into thoracic cavity</t>
  </si>
  <si>
    <t>Traumatic haemothorax</t>
  </si>
  <si>
    <t>Traumatic haemothorax, without open wound into thoracic cavity</t>
  </si>
  <si>
    <t>Traumatic haemothorax, with open wound into thoracic cavity</t>
  </si>
  <si>
    <t>Traumatic haemopneumothorax</t>
  </si>
  <si>
    <t>Traumatic haemopneumothorax, without open wound into thoracic cavity</t>
  </si>
  <si>
    <t>Traumatic haemopneumothorax, with open wound into thoracic cavity</t>
  </si>
  <si>
    <t>Other injuries of lung</t>
  </si>
  <si>
    <t>Other injuries of lung, without open wound into thoracic cavity</t>
  </si>
  <si>
    <t>Other injuries of lung, with open wound into thoracic cavity</t>
  </si>
  <si>
    <t>Laceration of lung (IM)</t>
  </si>
  <si>
    <t>Contusio and hematoma of lung (IM)</t>
  </si>
  <si>
    <t>Injury of bronchus</t>
  </si>
  <si>
    <t>Injury of bronchus, without open wound into thoracic cavity</t>
  </si>
  <si>
    <t>Injury of bronchus, with open wound into thoracic cavity</t>
  </si>
  <si>
    <t>Injury of thoracic trachea</t>
  </si>
  <si>
    <t>Injury of thoracic trachea, without open wound into thoracic cavity</t>
  </si>
  <si>
    <t>Injury of thoracic trachea, with open wound into thoracic cavity</t>
  </si>
  <si>
    <t>Injury of pleura</t>
  </si>
  <si>
    <t>Injury of pleura, without open wound into thoracic cavity</t>
  </si>
  <si>
    <t>Injury of pleura, with open wound into thoracic cavity</t>
  </si>
  <si>
    <t>Multiple injuries of intrathoracic organs</t>
  </si>
  <si>
    <t>Multiple injuries of intrathoracic organs, without open wound into thoracic cavity</t>
  </si>
  <si>
    <t>Multiple injuries of intrathoracic organs, with open wound into thoracic cavity</t>
  </si>
  <si>
    <t>Injury of other specified intrathoracic organs</t>
  </si>
  <si>
    <t>Injury of other specified intrathoracic organs, without open wound into thoracic cavity</t>
  </si>
  <si>
    <t>Injury of other specified intrathoracic organs, with open wound into thoracic cavity</t>
  </si>
  <si>
    <t>Traumatic amputation of part of thorax</t>
  </si>
  <si>
    <t>Air embolism (traumatic)</t>
  </si>
  <si>
    <t>Fat embolism (traumatic)</t>
  </si>
  <si>
    <t>Injury of abdominal aorta</t>
  </si>
  <si>
    <t>Injury of inferior vena cava</t>
  </si>
  <si>
    <t>Injury of coeliac or mesenteric artery</t>
  </si>
  <si>
    <t>Injury of portal or splenic vein</t>
  </si>
  <si>
    <t>Injury of renal blood vessels</t>
  </si>
  <si>
    <t>Injury of iliac blood vessels</t>
  </si>
  <si>
    <t>Injury of spleen</t>
  </si>
  <si>
    <t>Injury of spleen, without open wound into cavity</t>
  </si>
  <si>
    <t>Injury of spleen, with open wound into cavity</t>
  </si>
  <si>
    <t>Injury of liver or gallbladder</t>
  </si>
  <si>
    <t>Injury of liver or gallbladder, without open wound into cavity</t>
  </si>
  <si>
    <t>Injury of liver or gallbladder, with open wound into cavity</t>
  </si>
  <si>
    <t>Injury of pancreas</t>
  </si>
  <si>
    <t>Injury of pancreas, without open wound into cavity</t>
  </si>
  <si>
    <t>Injury of pancreas, with open wound into cavity</t>
  </si>
  <si>
    <t>Injury of stomach</t>
  </si>
  <si>
    <t>Injury of stomach, without open wound into cavity</t>
  </si>
  <si>
    <t>Injury of stomach, with open wound into cavity</t>
  </si>
  <si>
    <t>Injury of small intestine</t>
  </si>
  <si>
    <t>Injury of small intestine, without open wound into cavity</t>
  </si>
  <si>
    <t>Injury of small intestine, with open wound into cavity</t>
  </si>
  <si>
    <t>Injury of colon</t>
  </si>
  <si>
    <t>Injury of colon, without open wound into cavity</t>
  </si>
  <si>
    <t>Injury of colon, with open wound into cavity</t>
  </si>
  <si>
    <t>Injury of rectum</t>
  </si>
  <si>
    <t>Injury of rectum, without open wound into cavity</t>
  </si>
  <si>
    <t>Injury of rectum, with open wound into cavity</t>
  </si>
  <si>
    <t>Injury of multiple intra-abdominal organs</t>
  </si>
  <si>
    <t>Injury of multiple intra-abdominal organs, without open wound into cavity</t>
  </si>
  <si>
    <t>Injury of multiple intra-abdominal organs, with open wound into cavity</t>
  </si>
  <si>
    <t>Injury of other intra-abdominal organs</t>
  </si>
  <si>
    <t>Injury of other intra-abdominal organs, without open wound into cavity</t>
  </si>
  <si>
    <t>Injury of other intra-abdominal organs, with open wound into cavity</t>
  </si>
  <si>
    <t>Open wounds involving thorax wth abdomen, lower back and pelvis</t>
  </si>
  <si>
    <t>Injuries of intrathoracic organ with intra-abdominal and pelvic organs</t>
  </si>
  <si>
    <t>Injury of kidney</t>
  </si>
  <si>
    <t>Injury of kidney, without open wound into cavity</t>
  </si>
  <si>
    <t>Injury of kidney, with open wound into cavity</t>
  </si>
  <si>
    <t>Injury of ureter</t>
  </si>
  <si>
    <t>Injury of ureter, without open wound into cavity</t>
  </si>
  <si>
    <t>Injury of ureter, with open wound into cavity</t>
  </si>
  <si>
    <t>Injury of bladder</t>
  </si>
  <si>
    <t>Injury of bladder, without open wound into cavity</t>
  </si>
  <si>
    <t>Injury of bladder, with open wound into cavity</t>
  </si>
  <si>
    <t>Injury of urethra</t>
  </si>
  <si>
    <t>Injury of urethra, without open wound into cavity</t>
  </si>
  <si>
    <t>Injury of urethra, with open wound into cavity</t>
  </si>
  <si>
    <t>Injury of ovary</t>
  </si>
  <si>
    <t>Injury of ovary, without open wound into cavity</t>
  </si>
  <si>
    <t>Injury of ovary, with open wound into cavity</t>
  </si>
  <si>
    <t>Injury of fallopian tube</t>
  </si>
  <si>
    <t>Injury of fallopian tube, without open wound into cavity</t>
  </si>
  <si>
    <t>Injury of fallopian tube, with open wound into cavity</t>
  </si>
  <si>
    <t>Injury of uterus</t>
  </si>
  <si>
    <t>Injury of uterus, without open wound into cavity</t>
  </si>
  <si>
    <t>Injury of uterus, with open wound into cavity</t>
  </si>
  <si>
    <t>Injury of multiple urinary and pelvic organs</t>
  </si>
  <si>
    <t>Injury of multiple urinary and pelvic organs, without open wound into cavity</t>
  </si>
  <si>
    <t>Injury of multiple urinary and pelvic organs, with open wound into cavity</t>
  </si>
  <si>
    <t>Injury of other urinary and pelvic organs</t>
  </si>
  <si>
    <t>Injury of other urinary and pelvic organs, without open wound into cavity</t>
  </si>
  <si>
    <t>Injury of other urinary and pelvic organs, with open wound into cavity</t>
  </si>
  <si>
    <t>Traumatic rupture of cervical intervertebral disc</t>
  </si>
  <si>
    <t>Dislocation of cervical vertebra</t>
  </si>
  <si>
    <t>Dislocation of C1/C2 vertebra (IM)</t>
  </si>
  <si>
    <t>Dislocation of C2/C3 vertebra (IM)</t>
  </si>
  <si>
    <t>Dislocation of C3/C4 vertebra (IM)</t>
  </si>
  <si>
    <t>Dislocation of C4/C5 vertebra (IM)</t>
  </si>
  <si>
    <t>Dislocation of C5/C6 vertebra (IM)</t>
  </si>
  <si>
    <t>Dislocation of C6/C7 vertebra (IM)</t>
  </si>
  <si>
    <t>Dislocation of C7/T1 vertebra (IM)</t>
  </si>
  <si>
    <t>Dislocation of other,cervical vertebra (IM)</t>
  </si>
  <si>
    <t>Dislocation of cervical vertebra, part unspecified (IM)</t>
  </si>
  <si>
    <t>Dislocation of other and unspecified parts of neck</t>
  </si>
  <si>
    <t>Multiple dislocations of neck</t>
  </si>
  <si>
    <t>Concussion and oedema of cervical spinal cord</t>
  </si>
  <si>
    <t>Other and unspecified injuries of cervical spinal cord</t>
  </si>
  <si>
    <t>Concussion and oedema of thoracic spinal cord</t>
  </si>
  <si>
    <t>Other and unspecified injuries of thoracic spinal cord</t>
  </si>
  <si>
    <t>Injury of peripheral nerves of thorax</t>
  </si>
  <si>
    <t>Injury of other nerves of thorax</t>
  </si>
  <si>
    <t>Fracture of sacrum</t>
  </si>
  <si>
    <t>Fracture of sacrum, closed</t>
  </si>
  <si>
    <t>Fracture of sacrum, open</t>
  </si>
  <si>
    <t>Fracture of ilium</t>
  </si>
  <si>
    <t>Fracture of ilium, closed</t>
  </si>
  <si>
    <t>Fracture of ilium, open</t>
  </si>
  <si>
    <t>Fracture of acetabulum</t>
  </si>
  <si>
    <t>Fracture of acetabulum, closed</t>
  </si>
  <si>
    <t>Fracture of acetabulum, open</t>
  </si>
  <si>
    <t>Fracture of pubis</t>
  </si>
  <si>
    <t>Fracture of pubis, closed</t>
  </si>
  <si>
    <t>Fracture of pubis, open</t>
  </si>
  <si>
    <t>Open Fracture of pelvis, stable type (IM)</t>
  </si>
  <si>
    <t>Open Fracture of pelvis, rotary unstable type (IM)</t>
  </si>
  <si>
    <t>Open Fracture of pelvis, vertical shear type (IM)</t>
  </si>
  <si>
    <t>Open Fracture of pelvis, other types (IM)</t>
  </si>
  <si>
    <t>Open Fracture of pelvis, unspecified type (IM)</t>
  </si>
  <si>
    <t>Multiple fractures of lumbar spine and pelvis, open</t>
  </si>
  <si>
    <t>Fracture of other and unspecified parts of lumbar spine and pelvis, open</t>
  </si>
  <si>
    <t>Concussion and oedema of lumbar spinal cord</t>
  </si>
  <si>
    <t>Other injury of lumbar spinal cord</t>
  </si>
  <si>
    <t>Injury of cauda equina</t>
  </si>
  <si>
    <t>Injury of lumbosacral plexus</t>
  </si>
  <si>
    <t>Injury of peripheral nerve(s) of abdomen, lower back and pelvis</t>
  </si>
  <si>
    <t>Injury other and unspecified nerves abdomen lower back and pelvis level</t>
  </si>
  <si>
    <t>Fractures involving thorax with lower back and pelvis, open</t>
  </si>
  <si>
    <t>Injuries of nerves and spinal cord involving other multiple body regions</t>
  </si>
  <si>
    <t>Injury of spinal cord, level unspecified</t>
  </si>
  <si>
    <t>Injury of brachial plexus</t>
  </si>
  <si>
    <t>Open Fracture of proximal humerus, non-displaced (IM)</t>
  </si>
  <si>
    <t>Fracture of upper end of humerus, open</t>
  </si>
  <si>
    <t>Open Fracture of proximal humerus, 2 parts (IM)</t>
  </si>
  <si>
    <t>Open Fracture of proximal humerus, 3 parts (IM)</t>
  </si>
  <si>
    <t>Open Fracture of proximal humerus, 4 parts (IM)</t>
  </si>
  <si>
    <t>Open Fracture of proximal humerus, with articular involvement (IM)</t>
  </si>
  <si>
    <t>Open Fracture of epiphysis of proximal humerus (IM)</t>
  </si>
  <si>
    <t>Open Fracture of proximal humerus, others (IM)</t>
  </si>
  <si>
    <t>Open Fracture of proximal humerus, unspecified (IM)</t>
  </si>
  <si>
    <t>Open Fracture of shaft of humerus, simple fracture (IM)</t>
  </si>
  <si>
    <t>Fracture of shaft of humerus, open</t>
  </si>
  <si>
    <t>Open Fracture of shaft of humerus, butterfly fracture (IM)</t>
  </si>
  <si>
    <t>Open Fracture of shaft of humerus, comminuted fracture (IM)</t>
  </si>
  <si>
    <t>Multiple open fractures of shaft of humerus (IM)</t>
  </si>
  <si>
    <t>Open Fracture of shaft of humerus, unspecified (IM)</t>
  </si>
  <si>
    <t>Open Fracture of distal humerus, supracondylar (IM)</t>
  </si>
  <si>
    <t>Fracture of lower end of humerus, open</t>
  </si>
  <si>
    <t>Open Fracture of distal humerus, lateral condyle (IM)</t>
  </si>
  <si>
    <t>Open Fracture of distal humerus, medial condyle (IM)</t>
  </si>
  <si>
    <t>Open Fracture of distal humerus, other parts of condyle and epicondyle (IM)</t>
  </si>
  <si>
    <t>Open Fracture of distal humerus, T-shape intraarticular fracture (IM)</t>
  </si>
  <si>
    <t>Open Fracture of distal humerus, multifragment intraarticular fracture (IM)</t>
  </si>
  <si>
    <t>Open Fracture of physis and apophysis of distal humerus (IM)</t>
  </si>
  <si>
    <t>Multiple open fractures of distal humerus (IM)</t>
  </si>
  <si>
    <t>Open Fracture of distal humerus, others (IM)</t>
  </si>
  <si>
    <t>Open Fracture of distal humerus, unspecified (IM)</t>
  </si>
  <si>
    <t>Multiple fractures of clavicle, scapula and humerus, open</t>
  </si>
  <si>
    <t>Fracture of other parts of shoulder and upper arm, open</t>
  </si>
  <si>
    <t>Fracture of shoulder girdle, part unspecified, open</t>
  </si>
  <si>
    <t>Injury of ulnar nerve at upper arm level</t>
  </si>
  <si>
    <t>Injury of median nerve at upper arm level</t>
  </si>
  <si>
    <t>Injury of radial nerve at upper arm level</t>
  </si>
  <si>
    <t>Injury of axillary nerve</t>
  </si>
  <si>
    <t>Injury of axillary artery</t>
  </si>
  <si>
    <t>Injury of brachial artery</t>
  </si>
  <si>
    <t>Injury of axillary or brachial vein</t>
  </si>
  <si>
    <t>Traumatic amputation at shoulder joint</t>
  </si>
  <si>
    <t>Traumatic amputation at level between shoulder and elbow</t>
  </si>
  <si>
    <t>Traumatic amputation of shoulder and upper arm level unspecified</t>
  </si>
  <si>
    <t>Open Fracture of proximal ulna, olecranon (IM)</t>
  </si>
  <si>
    <t>Fracture of upper end of ulna, open</t>
  </si>
  <si>
    <t>Open Fracture of proximal ulna, coronoid process (IM)</t>
  </si>
  <si>
    <t>Open Fracture of proximal ulna, with dislocation of radial head (IM)</t>
  </si>
  <si>
    <t>Open Fracture of epiphysis of proximal ulna (IM)</t>
  </si>
  <si>
    <t>Open Fracture of proximal ulna, multiple fracture (IM)</t>
  </si>
  <si>
    <t>Open Fracture of proximal ulna, others (IM)</t>
  </si>
  <si>
    <t>Open Fracture of proximal ulna, unspecified (IM)</t>
  </si>
  <si>
    <t>Open Fracture of head of radius (IM)</t>
  </si>
  <si>
    <t>Fracture of upper end of radius, open</t>
  </si>
  <si>
    <t>Open Fracture of neck of radius (IM)</t>
  </si>
  <si>
    <t>Open Fracture of epiphysis of upper end of radius (IM)</t>
  </si>
  <si>
    <t>Open Fracture of upper end of radius, multiple fractures (IM)</t>
  </si>
  <si>
    <t>Open Fracture of upper end of radius, others (IM)</t>
  </si>
  <si>
    <t>Open Fracture of upper end of radius, unspecified (IM)</t>
  </si>
  <si>
    <t>Open Fracture of shaft of ulna, simple fracture (IM)</t>
  </si>
  <si>
    <t>Fracture of shaft of ulna, open</t>
  </si>
  <si>
    <t>Open Fracture of shaft of ulna, butterfly fracture (IM)</t>
  </si>
  <si>
    <t>Open Fracture of shaft of ulna, comminuted fracture (IM)</t>
  </si>
  <si>
    <t>Open Fracture of shaft of ulna, with dislocation of radial head (IM)</t>
  </si>
  <si>
    <t>Open Fracture of shaft of ulna, bifocal and segmental and multiple fractures (IM)</t>
  </si>
  <si>
    <t>Open Fracture of shaft of ulna, unspecified (IM)</t>
  </si>
  <si>
    <t>Open Fracture of shaft of radius, simple fracture (IM)</t>
  </si>
  <si>
    <t>Fracture of shaft of radius, open</t>
  </si>
  <si>
    <t>Open Fracture of shaft of radius, butterfly fracture (IM)</t>
  </si>
  <si>
    <t>Open Fracture of shaft of radius, comminuted fracture (IM)</t>
  </si>
  <si>
    <t>Open Fracture of shaft of radius, with dislocation of head of ulna (IM)</t>
  </si>
  <si>
    <t>Open fracture of shaft of radius, bifocal and segmental and multiple fractures (IM)</t>
  </si>
  <si>
    <t>Open Fracture of shaft of radius, unspecified (IM)</t>
  </si>
  <si>
    <t>Fracture of shafts of both ulna and radius, open</t>
  </si>
  <si>
    <t>Open Fracture of distal radius, extraarticular with dorsal angulation (IM)</t>
  </si>
  <si>
    <t>Fracture of lower end of radius, open</t>
  </si>
  <si>
    <t>Open Fracture of distal radius, extraarticular with volar angulation (IM)</t>
  </si>
  <si>
    <t>Open Fracture of distal radius, partial intraarticular (IM)</t>
  </si>
  <si>
    <t>Open Fracture of distal radius, complete intraarticular (IM)</t>
  </si>
  <si>
    <t>Open Fracture of epiphysis of distal radius (IM)</t>
  </si>
  <si>
    <t>Open Fracture of distal radius, multiple fractures (IM)</t>
  </si>
  <si>
    <t>Open Fracture of distal radius, others (IM)</t>
  </si>
  <si>
    <t>Open Fracture of distal radius, unspecified (IM)</t>
  </si>
  <si>
    <t>Fracture of lower end of both ulna and radius, open</t>
  </si>
  <si>
    <t>Open fracture of proximal part of both ulna and radius (IM)</t>
  </si>
  <si>
    <t>Multiple fractures of forearm , open</t>
  </si>
  <si>
    <t>Multiple open fractures of forearm, others (IM)</t>
  </si>
  <si>
    <t>Multiple open fractures of forearm, unspecified (IM)</t>
  </si>
  <si>
    <t>Fracture of other parts of forearm , open</t>
  </si>
  <si>
    <t>Fracture of forearm, part unspecified , open</t>
  </si>
  <si>
    <t>Injury of ulnar nerve at forearm level</t>
  </si>
  <si>
    <t>Injury of median nerve at forearm level</t>
  </si>
  <si>
    <t>Injury of radial nerve at forearm level</t>
  </si>
  <si>
    <t>Injury of multiple nerves at forearm level</t>
  </si>
  <si>
    <t>Injury of ulnar artery at forearm level</t>
  </si>
  <si>
    <t>Injury of radial artery at forearm level</t>
  </si>
  <si>
    <t>Traumatic amputation at elbow level</t>
  </si>
  <si>
    <t>Traumatic amputation at level between elbow and wrist</t>
  </si>
  <si>
    <t>Traumatic amputation of forearm, level unspecified</t>
  </si>
  <si>
    <t>Injury of ulnar nerve at wrist and hand level</t>
  </si>
  <si>
    <t>Injury of median nerve at wrist and hand level</t>
  </si>
  <si>
    <t>Injury of radial nerve at wrist and hand level</t>
  </si>
  <si>
    <t>Injury of ulnar artery at wrist and hand level</t>
  </si>
  <si>
    <t>Injury of radial artery at wrist and hand level</t>
  </si>
  <si>
    <t>Combination traumatic amputation of (part of) finger(s) with other parts wrist and hand</t>
  </si>
  <si>
    <t>Traumatic amputation of hand at wrist level</t>
  </si>
  <si>
    <t>Traumatic amputation of other parts of wrist and hand</t>
  </si>
  <si>
    <t>Traumatic amputation of wrist and hand, level unspecified</t>
  </si>
  <si>
    <t>Fractures involving multiple regions of one upper limb, open</t>
  </si>
  <si>
    <t>Fractures involving multiple regions of both upper limbs, open</t>
  </si>
  <si>
    <t>Traumatic amputation of both hands</t>
  </si>
  <si>
    <t>Traumatic amputation of one hand and other arm [any level, except hand]</t>
  </si>
  <si>
    <t>Traumatic amputation of both arms [any level]</t>
  </si>
  <si>
    <t>Traumatic ischaemia of muscle</t>
  </si>
  <si>
    <t>Fracture of neck of femur</t>
  </si>
  <si>
    <t>Fracture of neck of femur, closed</t>
  </si>
  <si>
    <t>Closed Fracture of neck of femur, undisplaced intracapsular fracture (IM)</t>
  </si>
  <si>
    <t>Open Fracture of neck of femur, undisplaced intracapsular fracture (IM)</t>
  </si>
  <si>
    <t>Fracture of neck of femur, open</t>
  </si>
  <si>
    <t>Closed Fracture of neck of femur, displaced intracapsular fracture (IM)</t>
  </si>
  <si>
    <t>Open Fracture of neck of femur, displaced intracapsular fracture (IM)</t>
  </si>
  <si>
    <t>Closed Fracture of neck of femur, impacted intracapsular fracture (IM)</t>
  </si>
  <si>
    <t>Open Fracture of neck of femur, impacted intracapsular fracture (IM)</t>
  </si>
  <si>
    <t>Closed Fracture of neck of femur, midcervical shear fracture (IM)</t>
  </si>
  <si>
    <t>Open Fracture of neck of femur, midcervical shear fracture (IM)</t>
  </si>
  <si>
    <t>Closed Fracture of neck of femur, base of neck (cervicotrochanteric) (IM)</t>
  </si>
  <si>
    <t>Open Fracture of neck of femur, base of neck (cervicotrochanteric) (IM)</t>
  </si>
  <si>
    <t>Closed Fracture of head of femur (IM)</t>
  </si>
  <si>
    <t>Open Fracture of head of femur (IM)</t>
  </si>
  <si>
    <t>Closed Fracture of epiphysis of upper femur (IM)</t>
  </si>
  <si>
    <t>Open Fracture of epiphysis of upper femur (IM)</t>
  </si>
  <si>
    <t>Closed Fracture of neck of femur, multiple (IM)</t>
  </si>
  <si>
    <t>Open Fracture of neck of femur, multiple (IM)</t>
  </si>
  <si>
    <t>Closed Fracture of neck of femur, others (IM)</t>
  </si>
  <si>
    <t>Open Fracture of neck of femur, others (IM)</t>
  </si>
  <si>
    <t>Closed Fracture of neck of femur, unspecified (IM)</t>
  </si>
  <si>
    <t>Open Fracture of neck of femur, unspecified (IM)</t>
  </si>
  <si>
    <t>Pertrochanteric fracture</t>
  </si>
  <si>
    <t>Pertrochanteric fracture, closed</t>
  </si>
  <si>
    <t>Closed Intertrochanteric fracture of femur, stable type (IM)</t>
  </si>
  <si>
    <t>Open Intertrochanteric fracture of femur, stable type (IM)</t>
  </si>
  <si>
    <t>Pertrochanteric fracture, open</t>
  </si>
  <si>
    <t>Closed Intertrochanteric fracture of femur, unstable type (IM)</t>
  </si>
  <si>
    <t>Open Intertrochanteric fracture of femur, unstable type (IM)</t>
  </si>
  <si>
    <t>Closed Fracture of trochanteric region of femur, others (IM)</t>
  </si>
  <si>
    <t>Open Fracture of trochanteric region of femur, others (IM)</t>
  </si>
  <si>
    <t>Subtrochanteric fracture</t>
  </si>
  <si>
    <t>Subtrochanteric fracture, closed</t>
  </si>
  <si>
    <t>Subtrochanteric fracture, open</t>
  </si>
  <si>
    <t>Fracture of shaft of femur</t>
  </si>
  <si>
    <t>Fracture of shaft of femur, closed</t>
  </si>
  <si>
    <t>Closed Fracture of shaft of femur, simple fracture (IM)</t>
  </si>
  <si>
    <t>Open Fracture of shaft of femur, simple fracture (IM)</t>
  </si>
  <si>
    <t>Fracture of shaft of femur, open</t>
  </si>
  <si>
    <t>Closed Fracture of shaft of femur, butterfly fracture (IM)</t>
  </si>
  <si>
    <t>Open Fracture of shaft of femur, butterfly fracture (IM)</t>
  </si>
  <si>
    <t>Closed Fracture of shaft of femur, comminuted fracture (IM)</t>
  </si>
  <si>
    <t>Open Fracture of shaft of femur, comminuted fracture (IM)</t>
  </si>
  <si>
    <t>Closed Fracture of shaft of femur, bifocal and segmental and (IM)</t>
  </si>
  <si>
    <t>Open fracture of shaft of femur, bifocal and segmental and multiple (IM)</t>
  </si>
  <si>
    <t>Closed Fracture of shaft of femur, unspecified (IM)</t>
  </si>
  <si>
    <t>Open Fracture of shaft of femur, unspecified (IM)</t>
  </si>
  <si>
    <t>Fracture of lower end of femur</t>
  </si>
  <si>
    <t>Fracture of lower end of femur, closed</t>
  </si>
  <si>
    <t>Closed Fracture of distal femur, supracondylar (IM)</t>
  </si>
  <si>
    <t>Open Fracture of distal femur, supracondylar (IM)</t>
  </si>
  <si>
    <t>Fracture of lower end of femur, open</t>
  </si>
  <si>
    <t>Closed Fracture of distal femur, lateral condyle (IM)</t>
  </si>
  <si>
    <t>Open Fracture of distal femur, lateral condyle (IM)</t>
  </si>
  <si>
    <t>Closed Fracture of distal femur, medial condyle (IM)</t>
  </si>
  <si>
    <t>Open Fracture of distal femur, medial condyle (IM)</t>
  </si>
  <si>
    <t>Closed Fracture of distal femur, other parts of condyle and epicondyle (IM)</t>
  </si>
  <si>
    <t>Open Fracture of distal femur, other parts of condyle and epicondyle (IM)</t>
  </si>
  <si>
    <t>Closed Fracture of distal femur, T-shape intraarticular fracture (IM)</t>
  </si>
  <si>
    <t>Open Fracture of distal femur, T-shape intraarticular fracture (IM)</t>
  </si>
  <si>
    <t>Closed Fracture of distal femur, multifragment intraarticular fracture (IM)</t>
  </si>
  <si>
    <t>Open Fracture of distal femur, multifragment intraarticular fracture (IM)</t>
  </si>
  <si>
    <t>Closed Fracture of distal femur, multiple fractures (IM)</t>
  </si>
  <si>
    <t>Open Fracture of distal femur, multiple fractures (IM)</t>
  </si>
  <si>
    <t>Closed Fracture of distal femoral epiphysis (IM)</t>
  </si>
  <si>
    <t>Open Fracture of distal femoral epiphysis (IM)</t>
  </si>
  <si>
    <t>Closed Fracture of distal femur, others (IM)</t>
  </si>
  <si>
    <t>Open Fracture of distal femur, others (IM)</t>
  </si>
  <si>
    <t>Closed Fracture of distal femur, unspecified (IM)</t>
  </si>
  <si>
    <t>Open Fracture of distal femur, unspecified (IM)</t>
  </si>
  <si>
    <t>Multiple fractures of femur</t>
  </si>
  <si>
    <t>Multiple fractures of femur, closed</t>
  </si>
  <si>
    <t>Multiple fractures of femur, open</t>
  </si>
  <si>
    <t>Fractures of other parts of femur</t>
  </si>
  <si>
    <t>Fractures of other parts of femur, closed</t>
  </si>
  <si>
    <t>Fractures of other parts of femur, open</t>
  </si>
  <si>
    <t>Fracture of femur, part unspecified</t>
  </si>
  <si>
    <t>Fracture of femur, part unspecified, closed</t>
  </si>
  <si>
    <t>Fracture of femur, part unspecified , open</t>
  </si>
  <si>
    <t>Injury of sciatic nerve at hip and thigh level</t>
  </si>
  <si>
    <t>Injury of femoral nerve at hip and thigh level</t>
  </si>
  <si>
    <t>Injury of multiple nerves at hip and thigh level</t>
  </si>
  <si>
    <t>Injury of femoral artery</t>
  </si>
  <si>
    <t>Injury of femoral vein at hip and thigh level</t>
  </si>
  <si>
    <t>Traumatic amputation at hip joint</t>
  </si>
  <si>
    <t>Traumatic amputation at level between hip and knee</t>
  </si>
  <si>
    <t>Traumatic amputation of hip and thigh, level unspecified</t>
  </si>
  <si>
    <t>Open Fracture of proximal tibia, extraarticular (IM)</t>
  </si>
  <si>
    <t>Fracture of upper end of tibia , open</t>
  </si>
  <si>
    <t>Open Fracture of proximal tibia, medial condyle (IM)</t>
  </si>
  <si>
    <t>Open Fracture of proximal tibia, lateral condyle [split] (IM)</t>
  </si>
  <si>
    <t>Open Fracture of proximal tibia, bicondyle (IM)</t>
  </si>
  <si>
    <t>Open Fracture of proximal tibia, with ligamentous injury (IM)</t>
  </si>
  <si>
    <t>Open Isolated fracture of tibial spine and intercondylar eminence (IM)</t>
  </si>
  <si>
    <t>Open Fracture of epiphysis of proximal tibia (IM)</t>
  </si>
  <si>
    <t>Open Fracture of proximal tibia, multiple fractures (IM)</t>
  </si>
  <si>
    <t>Open Fracture of proximal tibia, others (IM)</t>
  </si>
  <si>
    <t>Open Fracture of proximal tibia, unspecified (IM)</t>
  </si>
  <si>
    <t>Open Fracture of shaft of tibia with intact fibula (IM)</t>
  </si>
  <si>
    <t>Fracture of shaft of tibia , open</t>
  </si>
  <si>
    <t>Open Fracture of shaft of tibia with fracture of fibula at same level (IM)</t>
  </si>
  <si>
    <t>Open Fracture of shaft of tibia with fracture of fibula at different level (IM)</t>
  </si>
  <si>
    <t>Open Fracture of shaft of tibia, bifocal and segmental and multiple (IM)</t>
  </si>
  <si>
    <t>Open Fracture of shaft of tibia, others (IM)</t>
  </si>
  <si>
    <t>Open Fracture of shaft of tibia, unspecified (IM)</t>
  </si>
  <si>
    <t>Open Fracture of distal tibia, extraarticular (IM)</t>
  </si>
  <si>
    <t>Fracture of lower end of tibia , open</t>
  </si>
  <si>
    <t>Open Fracture of distal tibia, nondisplaced intraarticular (IM)</t>
  </si>
  <si>
    <t>Open Fracture of distal tibia, displaced intraarticular (IM)</t>
  </si>
  <si>
    <t>Open Fracture of epiphysis of distal tibia (IM)</t>
  </si>
  <si>
    <t>Open Fracture of distal tibia, multiple fractures (IM)</t>
  </si>
  <si>
    <t>Open Fracture of distal tibia, others (IM)</t>
  </si>
  <si>
    <t>Open Fracture of distal tibia, unspecified (IM)</t>
  </si>
  <si>
    <t>Fracture of fibula alone , open</t>
  </si>
  <si>
    <t>Injury of tibial nerve at lower leg level</t>
  </si>
  <si>
    <t>Injury of peroneal nerve at lower leg level</t>
  </si>
  <si>
    <t>Injury of popliteal artery</t>
  </si>
  <si>
    <t>Injury of (anterior)(posterior) tibial artery</t>
  </si>
  <si>
    <t>Injury of peroneal artery</t>
  </si>
  <si>
    <t>Injury of popliteal vein</t>
  </si>
  <si>
    <t>Injury of other blood vessels at lower leg level</t>
  </si>
  <si>
    <t>Traumatic amputation at knee level</t>
  </si>
  <si>
    <t>Traumatic amputation at level between knee and ankle</t>
  </si>
  <si>
    <t>Traumatic amputation of lower leg, level unspecified</t>
  </si>
  <si>
    <t>Injury of deep peroneal nerve at ankle and foot level</t>
  </si>
  <si>
    <t>Traumatic amputation of foot at ankle level</t>
  </si>
  <si>
    <t>Fractures involving multiple regions of one lower limb, open</t>
  </si>
  <si>
    <t>Fractures involving multiple regions of both lower limbs</t>
  </si>
  <si>
    <t>Fractures involving multiple regions of both lower limbs, closed</t>
  </si>
  <si>
    <t>Fractures involving multiple regions of both lower limbs, open</t>
  </si>
  <si>
    <t>Fractures involving multiple regions of up limb(s) with low limb(s)</t>
  </si>
  <si>
    <t>Fractures involving multiple regions of up limb(s) with low limb(s), closed</t>
  </si>
  <si>
    <t>Fractures involving multiple regions of up limb(s) with low limb(s), open</t>
  </si>
  <si>
    <t>Fractures involving thorax with lower back and pelvis with limb(s)</t>
  </si>
  <si>
    <t>Fractures involving thorax with lower back and pelvis with limb(s), closed</t>
  </si>
  <si>
    <t>Fractures involving thorax with lower back and pelvis with limb(s), open</t>
  </si>
  <si>
    <t>Fractures involving other combinations of body regions</t>
  </si>
  <si>
    <t>Fractures involving other combinations of body regions, closed</t>
  </si>
  <si>
    <t>Fractures involving other combinations of body regions, open</t>
  </si>
  <si>
    <t>Traumatic amputation of both feet</t>
  </si>
  <si>
    <t>Traumatic amputation of one foot and other leg [any level except foot]</t>
  </si>
  <si>
    <t>Traumatic amputation of both legs [any level]</t>
  </si>
  <si>
    <t>Traumatic amputation of upper and lower limbs, any combination [any level]</t>
  </si>
  <si>
    <t>Traumatic amputations involving other combinations of body regions</t>
  </si>
  <si>
    <t>Superficial injury of scalp</t>
  </si>
  <si>
    <t>Contusion of eyelid and periocular area</t>
  </si>
  <si>
    <t>Other superficial injuries of eyelid and periocular area</t>
  </si>
  <si>
    <t>Superficial injury of nose</t>
  </si>
  <si>
    <t>Superficial injury of ear</t>
  </si>
  <si>
    <t>Superficial injury of internal cheek (IM)</t>
  </si>
  <si>
    <t>Superficial injury of other parts of mouth ,including tongue (IM)</t>
  </si>
  <si>
    <t>Superficial injury of lip (IM)</t>
  </si>
  <si>
    <t>Superficial injury of lip and oral cavity, unspecified (IM)</t>
  </si>
  <si>
    <t>Multiple superficial injuries of head</t>
  </si>
  <si>
    <t>Superficial injury of other parts of head</t>
  </si>
  <si>
    <t>Superficial injury of head, part unspecified</t>
  </si>
  <si>
    <t>Open wound of scalp</t>
  </si>
  <si>
    <t>Open wound of eyelid and periocular area</t>
  </si>
  <si>
    <t>Open wound of nose</t>
  </si>
  <si>
    <t>Open wound of ear</t>
  </si>
  <si>
    <t>Open wound of cheek (IM)</t>
  </si>
  <si>
    <t>Open wound of temporomandibular area (IM)</t>
  </si>
  <si>
    <t>Open wound of cheek with open wound of temporomandibular area (IM)</t>
  </si>
  <si>
    <t>Open wound of oral cavity (IM)</t>
  </si>
  <si>
    <t>Open wound of lip (IM)</t>
  </si>
  <si>
    <t>Open wound of oral cavity with open wound of lip (IM)</t>
  </si>
  <si>
    <t>Multiple open wounds of head</t>
  </si>
  <si>
    <t>Open wound of other parts of head</t>
  </si>
  <si>
    <t>Open wound of head, part unspecified</t>
  </si>
  <si>
    <t>Fracture of vault of skull</t>
  </si>
  <si>
    <t>Fracture of vault of skull, closed</t>
  </si>
  <si>
    <t>Fracture of vault of skull, open</t>
  </si>
  <si>
    <t>Fracture of base of skull</t>
  </si>
  <si>
    <t>Fracture of base of skull, closed</t>
  </si>
  <si>
    <t>Fracture of base of skull, open</t>
  </si>
  <si>
    <t>Fracture of nasal bones</t>
  </si>
  <si>
    <t>Fracture of nasal bones, closed</t>
  </si>
  <si>
    <t>Fracture of nasal bones, open</t>
  </si>
  <si>
    <t>Fracture of orbital floor</t>
  </si>
  <si>
    <t>Fracture of orbital floor, closed</t>
  </si>
  <si>
    <t>Fracture of orbital floor, open</t>
  </si>
  <si>
    <t>Fracture of malar and maxillary bones, closed</t>
  </si>
  <si>
    <t>Closed Fracture of maxillary alveolar process (IM)</t>
  </si>
  <si>
    <t>Open Fracture of maxillary alveolar process (IM)</t>
  </si>
  <si>
    <t>Fracture of malar and maxillary bones, open</t>
  </si>
  <si>
    <t>Closed Fracture of malar bone [zygoma] (IM)</t>
  </si>
  <si>
    <t>Open Fracture of malar bone [zygoma] (IM)</t>
  </si>
  <si>
    <t>Closed Fracture of maxillary bones (IM)</t>
  </si>
  <si>
    <t>Open Fracture of maxillary bones (IM)</t>
  </si>
  <si>
    <t>Multiple closed fracture of malar and maxillary bones (IM)</t>
  </si>
  <si>
    <t>Multiple open fracture of malar and maxillary bones (IM)</t>
  </si>
  <si>
    <t>Fracture of tooth</t>
  </si>
  <si>
    <t>Fracture of tooth, closed</t>
  </si>
  <si>
    <t>Fracture of tooth, open</t>
  </si>
  <si>
    <t>Fracture of mandible</t>
  </si>
  <si>
    <t>Open Fracture of alveolar process (IM)</t>
  </si>
  <si>
    <t>Closed Fracture of body of mandible (IM)</t>
  </si>
  <si>
    <t>Open Fracture of body of mandible (IM)</t>
  </si>
  <si>
    <t>Closed Fracture of condyle (IM)</t>
  </si>
  <si>
    <t>Open Fracture of condyle (IM)</t>
  </si>
  <si>
    <t>Closed Fracture of coronoid process (IM)</t>
  </si>
  <si>
    <t>Open Fracture of coronoid process (IM)</t>
  </si>
  <si>
    <t>Closed Fracture of ramus (IM)</t>
  </si>
  <si>
    <t>Open Fracture of ramus (IM)</t>
  </si>
  <si>
    <t>Closed Fracture of symphysis (IM)</t>
  </si>
  <si>
    <t>Open Fracture of symphysis (IM)</t>
  </si>
  <si>
    <t>Closed Fracture of angle (IM)</t>
  </si>
  <si>
    <t>Open Fracture of angle (IM)</t>
  </si>
  <si>
    <t>Multiple closed fractures of mandible (IM)</t>
  </si>
  <si>
    <t>Multiple open fractures of mandible (IM)</t>
  </si>
  <si>
    <t>Closed Fracture of mandible, part unspecified (IM)</t>
  </si>
  <si>
    <t>Open Fracture of mandible, part unspecified (IM)</t>
  </si>
  <si>
    <t>Multiple fractures involving skull and facial bones</t>
  </si>
  <si>
    <t>Multiple fractures involving skull and facial bones, closed</t>
  </si>
  <si>
    <t>Multiple fractures involving skull and facial bones, open</t>
  </si>
  <si>
    <t>Fractures of other skull and facial bones</t>
  </si>
  <si>
    <t>Fractures of other skull and facial bones, closed</t>
  </si>
  <si>
    <t>Fractures of other skull and facial bones, open</t>
  </si>
  <si>
    <t>Fracture of skull and facial bones, part unspecified</t>
  </si>
  <si>
    <t>Fracture of skull and facial bones, part unspecified, closed</t>
  </si>
  <si>
    <t>Fracture of skull and facial bones, part unspecified, open</t>
  </si>
  <si>
    <t>Dislocation of jaw</t>
  </si>
  <si>
    <t>Dislocation of septal cartilage of nose</t>
  </si>
  <si>
    <t>Luxation of tooth (IM)</t>
  </si>
  <si>
    <t>Intrusion or extrusion of tooth (IM)</t>
  </si>
  <si>
    <t>Avulsion of tooth [exarticulation] (IM)</t>
  </si>
  <si>
    <t>Dislocation of tooth, unspecified (IM)</t>
  </si>
  <si>
    <t>Dislocation of other and unspecified parts of head</t>
  </si>
  <si>
    <t>Sprain and strain of jaw</t>
  </si>
  <si>
    <t>Sprain and strain joints ligs other and unspec parts head</t>
  </si>
  <si>
    <t>Injury of optic nerve and pathways</t>
  </si>
  <si>
    <t>Injury of oculomotor nerve</t>
  </si>
  <si>
    <t>Injury of trochlear nerve</t>
  </si>
  <si>
    <t>Injury of trigeminal nerve</t>
  </si>
  <si>
    <t>Injury of abducent nerve</t>
  </si>
  <si>
    <t>Injury of facial nerve</t>
  </si>
  <si>
    <t>Injury of acoustic nerve</t>
  </si>
  <si>
    <t>Injury of accessory nerve</t>
  </si>
  <si>
    <t>Injury of olfactory nerve (IM)</t>
  </si>
  <si>
    <t>Injury of glossopharyngeal nerve (IM)</t>
  </si>
  <si>
    <t>Injury of vagus nerve (IM)</t>
  </si>
  <si>
    <t>Injury of hypoglossal nerve (IM)</t>
  </si>
  <si>
    <t>Injury of unspecified cranial nerve</t>
  </si>
  <si>
    <t>Injury conjunctiva corneal abras without ment foreign body</t>
  </si>
  <si>
    <t>Contusion of eyeball and orbital tissues</t>
  </si>
  <si>
    <t>Ocular lacn and rupture with prolapse or loss intraoc tiss</t>
  </si>
  <si>
    <t>Ocular lacn without prolapse or loss of intraocular tissue</t>
  </si>
  <si>
    <t>Penetrating wound of orbit with or without foreign body</t>
  </si>
  <si>
    <t>Penetrating wound of eyeball with foreign body</t>
  </si>
  <si>
    <t>Penetrating wound of eyeball without foreign body</t>
  </si>
  <si>
    <t>Avulsion of eye</t>
  </si>
  <si>
    <t>Other injuries of eye and orbit</t>
  </si>
  <si>
    <t>Injury of eye and orbit, unspecified</t>
  </si>
  <si>
    <t>Concussion, without open intracranial wound</t>
  </si>
  <si>
    <t>Concussion, with open intracranial wound</t>
  </si>
  <si>
    <t>Intracranial injury, unspecified</t>
  </si>
  <si>
    <t>Intracranial injury, unspecified, without open intracranial wound</t>
  </si>
  <si>
    <t>Intracranial injury, unspecified, with open intracranial wound</t>
  </si>
  <si>
    <t>Crushing injury of face</t>
  </si>
  <si>
    <t>Crushing injury of skull</t>
  </si>
  <si>
    <t>Crushing injury of other parts of head</t>
  </si>
  <si>
    <t>Crushing injury of head, part unspecified</t>
  </si>
  <si>
    <t>Avulsion of scalp</t>
  </si>
  <si>
    <t>Traumatic amputation of ear</t>
  </si>
  <si>
    <t>Traumatic amputation of other parts of head</t>
  </si>
  <si>
    <t>Traumatic amputation of unspecified part of head</t>
  </si>
  <si>
    <t>Injury of blood vessels of head, not elsewhere classified</t>
  </si>
  <si>
    <t>Injury of muscle and tendon of head</t>
  </si>
  <si>
    <t>Traumatic rupture of ear drum</t>
  </si>
  <si>
    <t>Multiple injuries of head</t>
  </si>
  <si>
    <t>Other specified injuries of head</t>
  </si>
  <si>
    <t>Unspecified injury of head</t>
  </si>
  <si>
    <t>Contusion of throat</t>
  </si>
  <si>
    <t>Other and unspecified superficial injuries of throat</t>
  </si>
  <si>
    <t>Multiple superficial injuries of neck</t>
  </si>
  <si>
    <t>Superficial injury of other parts of neck</t>
  </si>
  <si>
    <t>Superficial injury of neck, part unspecified</t>
  </si>
  <si>
    <t>Open wound involving thyroid gland</t>
  </si>
  <si>
    <t>Multiple open wounds of neck</t>
  </si>
  <si>
    <t>Open wound of other parts of neck</t>
  </si>
  <si>
    <t>Open wound of neck, part unspecified</t>
  </si>
  <si>
    <t>Fracture of first cervical vertebra</t>
  </si>
  <si>
    <t>Fracture of first cervical vertebra, closed</t>
  </si>
  <si>
    <t>Fracture of first cervical vertebra, open</t>
  </si>
  <si>
    <t>Fracture of second cervical vertebra</t>
  </si>
  <si>
    <t>Fracture of second cervical vertebra, closed</t>
  </si>
  <si>
    <t>Fracture of second cervical vertebra, open</t>
  </si>
  <si>
    <t>Fracture of other specified cervical vertebra</t>
  </si>
  <si>
    <t>Fracture of other specified cervical vertebra, closed</t>
  </si>
  <si>
    <t>Closed fracture of 3rd cervical vertebra (IM)</t>
  </si>
  <si>
    <t>Open fracture of 3rd cervical vertebra (IM)</t>
  </si>
  <si>
    <t>Fracture of other specified cervical vertebra, open</t>
  </si>
  <si>
    <t>Closed Fracture of 4th cervical vertebra (IM)</t>
  </si>
  <si>
    <t>Open Fracture of 4th cervical vertebra (IM)</t>
  </si>
  <si>
    <t>Closed Fracture of 5th cervical vertebra (IM)</t>
  </si>
  <si>
    <t>Open Fracture of 5th cervical vertebra (IM)</t>
  </si>
  <si>
    <t>Closed Fracture of 6th cervical vertebra (IM)</t>
  </si>
  <si>
    <t>Open Fracture of 6th cervical vertebra (IM)</t>
  </si>
  <si>
    <t>Closed Fracture of 7th cervical vertebra (IM)</t>
  </si>
  <si>
    <t>Open Fracture of 7th cervical vertebra (IM)</t>
  </si>
  <si>
    <t>Closed Fracture of other cervical vertebra (IM)</t>
  </si>
  <si>
    <t>Open Fracture of other cervical vertebra (IM)</t>
  </si>
  <si>
    <t>Multiple fractures of cervical spine</t>
  </si>
  <si>
    <t>Multiple fractures of cervical spine, closed</t>
  </si>
  <si>
    <t>Multiple fractures of cervical spine, open</t>
  </si>
  <si>
    <t>Fracture of other parts of neck</t>
  </si>
  <si>
    <t>Fracture of other parts of neck, closed</t>
  </si>
  <si>
    <t>Fracture of other parts of neck, open</t>
  </si>
  <si>
    <t>Fracture of neck, part unspecified</t>
  </si>
  <si>
    <t>Fracture of neck, part unspecified, closed</t>
  </si>
  <si>
    <t>Fracture of neck, part unspecified, open</t>
  </si>
  <si>
    <t>Sprain and strain of cervical spine</t>
  </si>
  <si>
    <t>Sprain and strain of thyroid region</t>
  </si>
  <si>
    <t>Sprain and strain of joints and ligaments of other and unspecified parts of neck</t>
  </si>
  <si>
    <t>Injury of nerve root of cervical spine</t>
  </si>
  <si>
    <t>Injury of peripheral nerves of neck</t>
  </si>
  <si>
    <t>Injury of cervical sympathetic nerves</t>
  </si>
  <si>
    <t>Injury of other and unspecified nerves of neck</t>
  </si>
  <si>
    <t>Injury of multiple blood vessels at neck level</t>
  </si>
  <si>
    <t>Injury of other blood vessels at neck level</t>
  </si>
  <si>
    <t>Injury of unspecified blood vessel at neck level</t>
  </si>
  <si>
    <t>Injury of muscle and tendon at neck level</t>
  </si>
  <si>
    <t>Crushing injury of larynx and trachea</t>
  </si>
  <si>
    <t>Crushing injury of other parts of neck</t>
  </si>
  <si>
    <t>Crushing injury of neck, part unspecified</t>
  </si>
  <si>
    <t>Traumatic amputation at neck level</t>
  </si>
  <si>
    <t>Multiple injuries of neck</t>
  </si>
  <si>
    <t>Other specified injuries of neck</t>
  </si>
  <si>
    <t>Unspecified injury of neck</t>
  </si>
  <si>
    <t>Contusion of breast</t>
  </si>
  <si>
    <t>Other and unspecified superficial injuries of breast</t>
  </si>
  <si>
    <t>Contusion of thorax</t>
  </si>
  <si>
    <t>Other superficial injuries of front wall of thorax</t>
  </si>
  <si>
    <t>Other superficial injuries of back wall of thorax</t>
  </si>
  <si>
    <t>Multiple superficial injuries of thorax</t>
  </si>
  <si>
    <t>Superficial injury of other and unspecified parts of thorax</t>
  </si>
  <si>
    <t>Open wound of breast</t>
  </si>
  <si>
    <t>Open wound of front wall of thorax</t>
  </si>
  <si>
    <t>Open wound of back wall of thorax</t>
  </si>
  <si>
    <t>Multiple open wounds of thoracic wall</t>
  </si>
  <si>
    <t>Open wound of other parts of thorax</t>
  </si>
  <si>
    <t>Open wound of thorax, part unspecified</t>
  </si>
  <si>
    <t>Fracture of thoracic vertebra, closed</t>
  </si>
  <si>
    <t>Closed Fracture of thoracic vertebra, compression type (IM)</t>
  </si>
  <si>
    <t>Open Fracture of thoracic vertebra, compression type (IM)</t>
  </si>
  <si>
    <t>Fracture of thoracic vertebra, open</t>
  </si>
  <si>
    <t>Closed Fracture of thoracic vertebra, burst type (IM)</t>
  </si>
  <si>
    <t>Open Fracture of thoracic vertebra, burst type (IM)</t>
  </si>
  <si>
    <t>Closed Fracture of thoracic vertebra, seat-belt type (IM)</t>
  </si>
  <si>
    <t>Open Fracture of thoracic vertebra, seat-belt type (IM)</t>
  </si>
  <si>
    <t>Closed Fracture of thoracic vertebra, flexion-rotation type (IM)</t>
  </si>
  <si>
    <t>Open Fracture of thoracic vertebra, flexion-rotation type (IM)</t>
  </si>
  <si>
    <t>Closed Fracture of thoracic vertebra, shear type (IM)</t>
  </si>
  <si>
    <t>Open Fracture of thoracic vertebra, shear type (IM)</t>
  </si>
  <si>
    <t>Closed Fracture of thoracic vertebra, flexion-distraction type (IM)</t>
  </si>
  <si>
    <t>Open Fracture of thoracic vertebra, flexion-distraction type (IM)</t>
  </si>
  <si>
    <t>Closed Fracture of thoracic vertebra, mechanism unspecified (IM)</t>
  </si>
  <si>
    <t>Open Fracture of thoracic vertebra, mechanism unspecified (IM)</t>
  </si>
  <si>
    <t>Multiple fractures of thoracic spine</t>
  </si>
  <si>
    <t>Multiple closed fractures of thoracic spine, T1-T6 level (IM)</t>
  </si>
  <si>
    <t>Multiple open fractures of thoracic spine, T1-T6 level (IM)</t>
  </si>
  <si>
    <t>Multiple fractures of thoracic spine, open</t>
  </si>
  <si>
    <t>Multiple closed fractures of thoracic spine, T7-T12 level (IM)</t>
  </si>
  <si>
    <t>Multiple open fractures of thoracic spine, T7-T12 level (IM)</t>
  </si>
  <si>
    <t>Multiple closed fractures of thoracic and lumbar spine [T and L spine] (IM)</t>
  </si>
  <si>
    <t>Multiple open fractures of thoracic and lumbar spine [T and L spine] (IM)</t>
  </si>
  <si>
    <t>Multiple closed fractures of thoracic spine, other specified (IM)</t>
  </si>
  <si>
    <t>Multiple open fractures of thoracic spine, other specified (IM)</t>
  </si>
  <si>
    <t>Multiple closed fractures of thoracic spine, unspecified (IM)</t>
  </si>
  <si>
    <t>Multiple open fractures of thoracic spine, unspecified (IM)</t>
  </si>
  <si>
    <t>Fracture of sternum</t>
  </si>
  <si>
    <t>Fracture of sternum, closed</t>
  </si>
  <si>
    <t>Fracture of rib</t>
  </si>
  <si>
    <t>Fracture of rib, closed</t>
  </si>
  <si>
    <t>Fracture of rib, open</t>
  </si>
  <si>
    <t>Multiple fractures of ribs</t>
  </si>
  <si>
    <t>Multiple fractures of ribs, closed</t>
  </si>
  <si>
    <t>Fracture of other parts of bony thorax</t>
  </si>
  <si>
    <t>Fracture of other parts of bony thorax, closed</t>
  </si>
  <si>
    <t>Fracture of bony thorax, part unspecified</t>
  </si>
  <si>
    <t>Fracture of bony thorax, part unspecified, closed</t>
  </si>
  <si>
    <t>Fracture of bony thorax, part unspecified, open</t>
  </si>
  <si>
    <t>Traumatic rupture of thoracic intervertebral disc</t>
  </si>
  <si>
    <t>Dislocation of thoracic vertebra</t>
  </si>
  <si>
    <t>Dislocation of other and unspecified parts of thorax</t>
  </si>
  <si>
    <t>Sprain and strain of thoracic spine</t>
  </si>
  <si>
    <t>Sprain and strain of ribs and sternum</t>
  </si>
  <si>
    <t>Sprain and strain of other and unspecified parts of thorax</t>
  </si>
  <si>
    <t>Injury of nerve root of thoracic spine</t>
  </si>
  <si>
    <t>Injury of thoracic sympathetic nerves</t>
  </si>
  <si>
    <t>Injury of unspecified nerve of thorax</t>
  </si>
  <si>
    <t>Injury of intercostal blood vessels</t>
  </si>
  <si>
    <t>Injury of other blood vessels of thorax</t>
  </si>
  <si>
    <t>Injury of unspecified blood vessel of thorax</t>
  </si>
  <si>
    <t>Injury of unspecified intrathoracic organ</t>
  </si>
  <si>
    <t>Injury of unspecified intrathoracic organ, without open wound into thoracic cavity</t>
  </si>
  <si>
    <t>Injury of unspecified intrathoracic organ, with open wound into thoracic cavity</t>
  </si>
  <si>
    <t>Crushed chest</t>
  </si>
  <si>
    <t>Injury of muscle and tendon at thorax level</t>
  </si>
  <si>
    <t>Multiple injuries of thorax</t>
  </si>
  <si>
    <t>Other specified injuries of thorax</t>
  </si>
  <si>
    <t>Unspecified injury of thorax</t>
  </si>
  <si>
    <t>Contusion of lower back and pelvis</t>
  </si>
  <si>
    <t>Contusion of abdominal wall</t>
  </si>
  <si>
    <t>Contusion of external genital organs</t>
  </si>
  <si>
    <t>Multiple superficial injuries of abdomen lower back and pelvis</t>
  </si>
  <si>
    <t>Other superficial injuries of abdomen, lower back and pelvis</t>
  </si>
  <si>
    <t>Superficial injury of abdomen lower back and pelvis, part unspecified</t>
  </si>
  <si>
    <t>Open wound of lower back and pelvis</t>
  </si>
  <si>
    <t>Open wound of abdominal wall</t>
  </si>
  <si>
    <t>Open wound of penis</t>
  </si>
  <si>
    <t>Open wound of scrotum and testes</t>
  </si>
  <si>
    <t>Open wound of vagina and vulva</t>
  </si>
  <si>
    <t>Open wound of other and unspecified external genital organs</t>
  </si>
  <si>
    <t>Multiple open wounds of abdomen, lower back and pelvis</t>
  </si>
  <si>
    <t>Open wound of other and unspecified parts of abdomen</t>
  </si>
  <si>
    <t>Fracture of lumbar vertebra</t>
  </si>
  <si>
    <t>Fracture of lumbar vertebra, closed</t>
  </si>
  <si>
    <t>Closed Fracture of lumbar vertebra, compression type (IM)</t>
  </si>
  <si>
    <t>Open Fracture of lumbar vertebra, compression type (IM)</t>
  </si>
  <si>
    <t>Fracture of lumbar vertebra, open</t>
  </si>
  <si>
    <t>Closed Fracture of lumbar vertebra, burst type (IM)</t>
  </si>
  <si>
    <t>Open Fracture of lumbar vertebra, burst type (IM)</t>
  </si>
  <si>
    <t>Closed Fracture of lumbar vertebra, seat-belt type (IM)</t>
  </si>
  <si>
    <t>Open Fracture of lumbar vertebra, seat-belt type (IM)</t>
  </si>
  <si>
    <t>Closed Fracture of lumbar vertebra, flexion-rotation type (IM)</t>
  </si>
  <si>
    <t>Open Fracture of lumbar vertebra, flexion-rotation type (IM)</t>
  </si>
  <si>
    <t>Closed Fracture of lumbar vertebra, shear type (IM)</t>
  </si>
  <si>
    <t>Open Fracture of lumbar vertebra, shear type (IM)</t>
  </si>
  <si>
    <t>Closed Fracture of lumbar vertebra, flexion-distraction type (IM)</t>
  </si>
  <si>
    <t>Open Fracture of lumbar vertebra, flexion-distraction type (IM)</t>
  </si>
  <si>
    <t>Closed Fracture of lumbar vertebra, mechanism unspecified (IM)</t>
  </si>
  <si>
    <t>Open Fracture of lumbar vertebra, mechanism unspecified (IM)</t>
  </si>
  <si>
    <t>Fracture of coccyx</t>
  </si>
  <si>
    <t>Fracture of coccyx, closed</t>
  </si>
  <si>
    <t>Fracture of coccyx, open</t>
  </si>
  <si>
    <t>Closed Fracture of pelvis, stable type (IM)</t>
  </si>
  <si>
    <t>Closed Fracture of pelvis, rotary unstable type (IM)</t>
  </si>
  <si>
    <t>Closed Fracture of pelvis, vertical shear type (IM)</t>
  </si>
  <si>
    <t>Closed Fracture of pelvis, other types (IM)</t>
  </si>
  <si>
    <t>Closed Fracture of pelvis, unspecified type (IM)</t>
  </si>
  <si>
    <t>Multiple fractures of lumbar spine and pelvis</t>
  </si>
  <si>
    <t>Multiple fractures of lumbar spine and pelvis, closed</t>
  </si>
  <si>
    <t>Fracture of oth unspecified parts of lumbar spine and pelvis</t>
  </si>
  <si>
    <t>Fracture of other and unspecified parts of lumbar spine and pelvis, closed</t>
  </si>
  <si>
    <t>Traumatic rupture of lumbar intervertebral disc</t>
  </si>
  <si>
    <t>Dislocation of lumbar vertebra</t>
  </si>
  <si>
    <t>Dislocation of sacroiliac and sacrococcygeal joint</t>
  </si>
  <si>
    <t>Dislocation oth and unspec parts of lumbar spine and pelvis</t>
  </si>
  <si>
    <t>Traumatic rupture of symphysis pubis</t>
  </si>
  <si>
    <t>Sprain and strain of lumbar spine</t>
  </si>
  <si>
    <t>Sprain and strain of sacroiliac joint</t>
  </si>
  <si>
    <t>Sprain and strain of other and unspec partsof lumbar spine pelvis</t>
  </si>
  <si>
    <t>Injury of nerve root of lumbar and sacral spine</t>
  </si>
  <si>
    <t>Injury of lumbar, sacral and pelvic sympathetic nerves</t>
  </si>
  <si>
    <t>Injury of multiple blood vessels at abdomen, lower back and pelvis level</t>
  </si>
  <si>
    <t>Injury of other blood vessels at abdomen, lower back and pelvis level</t>
  </si>
  <si>
    <t>Injury of unspecified blood vessel abdoment, lower back and pelvis level</t>
  </si>
  <si>
    <t>Injury of unspecified intra-abdominal organ</t>
  </si>
  <si>
    <t>Injury of unspecified intra-abdominal organ, without open wound into cavity</t>
  </si>
  <si>
    <t>Injury of unspecified intra-abdominal organ, with open wound into cavity</t>
  </si>
  <si>
    <t>Injury of unspecified urinary and pelvic organ</t>
  </si>
  <si>
    <t>Injury of unspecified urinary and pelvic organ, without open wound into cavity</t>
  </si>
  <si>
    <t>Injury of unspecified urinary and pelvic organ, with open wound into cavity</t>
  </si>
  <si>
    <t>Crushing injury of external genital organs</t>
  </si>
  <si>
    <t>Crushing injury of other and unspecified part of abdomen, lower back and pelvis</t>
  </si>
  <si>
    <t>Traumatic amputation of external genital organs</t>
  </si>
  <si>
    <t>Traumatic amputation of other and unspecified parts of abdomen, low back and pelvis</t>
  </si>
  <si>
    <t>Injury of muscle and tendon of abdomen lower back and pelvis</t>
  </si>
  <si>
    <t>Injury of intra-abdominal organ(s) with pelvic organ(s)</t>
  </si>
  <si>
    <t>Other multiple injuries of abdomen, lower back and pelvis</t>
  </si>
  <si>
    <t>Other specified injuries of abdomen, lower back and pelvis</t>
  </si>
  <si>
    <t>Unspecified injury of abdomen, lower back and pelvis</t>
  </si>
  <si>
    <t>Contusion of shoulder and upper arm</t>
  </si>
  <si>
    <t>Multiple superficial injuries of shoulder and upper arm</t>
  </si>
  <si>
    <t>Other superficial injuries of shoulder and upper arm</t>
  </si>
  <si>
    <t>Abrasion of shoulder and arm (IM)</t>
  </si>
  <si>
    <t>Blister of shoulder and arm (IM)</t>
  </si>
  <si>
    <t>Insect bite of shoulder and arm (IM)</t>
  </si>
  <si>
    <t>Superficial foreign body of shoulder and arm (IM)</t>
  </si>
  <si>
    <t>Other superficial injuries of shoulder and arm (IM)</t>
  </si>
  <si>
    <t>Superficial injury of shoulder and upper arm, unspecified</t>
  </si>
  <si>
    <t>Open wound of shoulder</t>
  </si>
  <si>
    <t>Open wound of upper arm</t>
  </si>
  <si>
    <t>Multiple open wounds of shoulder and upper arm</t>
  </si>
  <si>
    <t>Open wound of other and unspecified parts of shoulder girdle</t>
  </si>
  <si>
    <t>Fracture of clavicle</t>
  </si>
  <si>
    <t>Fracture of clavicle, closed</t>
  </si>
  <si>
    <t>Closed Fracture of clavicle, sternal end (IM)</t>
  </si>
  <si>
    <t>Open Fracture of clavicle, sternal end (IM)</t>
  </si>
  <si>
    <t>Fracture of clavicle, open</t>
  </si>
  <si>
    <t>Closed Fracture of clavicle, shaft (IM)</t>
  </si>
  <si>
    <t>Open Fracture of clavicle, shaft (IM)</t>
  </si>
  <si>
    <t>Closed Fracture of clavicle, acromial end (IM)</t>
  </si>
  <si>
    <t>Open Fracture of clavicle, acromial end (IM)</t>
  </si>
  <si>
    <t>Closed Fracture of clavicle, multiple fractures (IM)</t>
  </si>
  <si>
    <t>Open Fracture of clavicle, multiple fractures (IM)</t>
  </si>
  <si>
    <t>Closed Fracture of clavicle, unspecified part (IM)</t>
  </si>
  <si>
    <t>Open Fracture of clavicle, unspecified part (IM)</t>
  </si>
  <si>
    <t>Fracture of scapula</t>
  </si>
  <si>
    <t>Fracture of scapula, closed</t>
  </si>
  <si>
    <t>Closed Fracture of scapula, body (IM)</t>
  </si>
  <si>
    <t>Open Fracture of scapula, body (IM)</t>
  </si>
  <si>
    <t>Fracture of scapula, open</t>
  </si>
  <si>
    <t>Closed Fracture of scapula, acromion process (IM)</t>
  </si>
  <si>
    <t>Open Fracture of scapula, acromion process (IM)</t>
  </si>
  <si>
    <t>Closed Fracture of scapula, coracoid (IM)</t>
  </si>
  <si>
    <t>Open Fracture of scapula, coracoid (IM)</t>
  </si>
  <si>
    <t>Closed Fracture of scapula, glenoid and neck of scapula (IM)</t>
  </si>
  <si>
    <t>Open Fracture of scapula, glenoid and neck of scapula (IM)</t>
  </si>
  <si>
    <t>Closed Fracture of scapula, multiple fractures (IM)</t>
  </si>
  <si>
    <t>Open Fracture of scapula, multiple fractures (IM)</t>
  </si>
  <si>
    <t>Closed Fracture of scapula, unspecified part (IM)</t>
  </si>
  <si>
    <t>Open Fracture of scapula, unspecified part (IM)</t>
  </si>
  <si>
    <t>Fracture of upper end of humerus</t>
  </si>
  <si>
    <t>Fracture of upper end of humerus, closed</t>
  </si>
  <si>
    <t>Closed Fracture of proximal humerus, non-displaced (IM)</t>
  </si>
  <si>
    <t>Closed Fracture of proximal humerus, 2 parts (IM)</t>
  </si>
  <si>
    <t>Closed Fracture of proximal humerus, 3 parts (IM)</t>
  </si>
  <si>
    <t>Closed Fracture of proximal humerus, 4 parts (IM)</t>
  </si>
  <si>
    <t>Closed Fracture of proximal humerus, with articular involvement (IM)</t>
  </si>
  <si>
    <t>Closed Fracture of epiphysis of proximal humerus (IM)</t>
  </si>
  <si>
    <t>Closed Fracture of proximal humerus, others (IM)</t>
  </si>
  <si>
    <t>Closed Fracture of proximal humerus, unspecified (IM)</t>
  </si>
  <si>
    <t>Fracture of shaft of humerus</t>
  </si>
  <si>
    <t>Fracture of shaft of humerus, closed</t>
  </si>
  <si>
    <t>Closed Fracture of shaft of humerus, simple fracture (IM)</t>
  </si>
  <si>
    <t>Closed Fracture of shaft of humerus, butterfly fracture (IM)</t>
  </si>
  <si>
    <t>Closed Fracture of shaft of humerus, comminuted fracture (IM)</t>
  </si>
  <si>
    <t>Multiple closed fractures of shaft of humerus (IM)</t>
  </si>
  <si>
    <t>Closed Fracture of shaft of humerus, unspecified (IM)</t>
  </si>
  <si>
    <t>Fracture of lower end of humerus</t>
  </si>
  <si>
    <t>Fracture of lower end of humerus, closed</t>
  </si>
  <si>
    <t>Closed Fracture of distal humerus, supracondylar (IM)</t>
  </si>
  <si>
    <t>Closed Fracture of distal humerus, lateral condyle (IM)</t>
  </si>
  <si>
    <t>Closed Fracture of distal humerus, medial condyle (IM)</t>
  </si>
  <si>
    <t>Closed Fracture of distal humerus, other parts of condyle and epicondyle (IM)</t>
  </si>
  <si>
    <t>Closed Fracture of distal humerus, T-shape intraarticular fracture (IM)</t>
  </si>
  <si>
    <t>Closed Fracture of distal humerus, multifragment intraarticular fracture (IM)</t>
  </si>
  <si>
    <t>Closed Fracture of physis and apophysis of distal humerus (IM)</t>
  </si>
  <si>
    <t>Multiple closed fractures of distal humerus (IM)</t>
  </si>
  <si>
    <t>Closed Fracture of distal humerus, others (IM)</t>
  </si>
  <si>
    <t>Closed Fracture of distal humerus, unspecified (IM)</t>
  </si>
  <si>
    <t>Multiple fractures of clavicle, scapula and humerus</t>
  </si>
  <si>
    <t>Multiple fractures of clavicle, scapula and humerus, closed</t>
  </si>
  <si>
    <t>Fracture of other parts of shoulder and upper arm</t>
  </si>
  <si>
    <t>Fracture of other parts of shoulder and upper arm, closed</t>
  </si>
  <si>
    <t>Fracture of shoulder girdle, part unspecified</t>
  </si>
  <si>
    <t>Fracture of shoulder girdle, part unspecified, closed</t>
  </si>
  <si>
    <t>Dislocation of shoulder joint</t>
  </si>
  <si>
    <t>Dislocation of shoulder joint, anterior (IM)</t>
  </si>
  <si>
    <t>Dislocation of shoulder joint, posterior (IM)</t>
  </si>
  <si>
    <t>Dislocation of shoulder joint, inferior (IM)</t>
  </si>
  <si>
    <t>Dislocation of shoulder joint, other (IM)</t>
  </si>
  <si>
    <t>Dislocation of shoulder joint, unspecified (IM)</t>
  </si>
  <si>
    <t>Dislocation of acromioclavicular joint</t>
  </si>
  <si>
    <t>Dislocation of sternoclavicular joint</t>
  </si>
  <si>
    <t>Dislocation of other and unspec parts of shoulder girdle</t>
  </si>
  <si>
    <t>Sprain and strain of shoulder joint</t>
  </si>
  <si>
    <t>Sprain and strain of acromioclavicular joint</t>
  </si>
  <si>
    <t>Sprain and strain of sternoclavicular joint</t>
  </si>
  <si>
    <t>Sprain and strain of oth and unspec part of shoulder girdle</t>
  </si>
  <si>
    <t>Injury of musculocutaneous nerve</t>
  </si>
  <si>
    <t>Injury of cutaneous sensory nerve at shoulder and upper arm level</t>
  </si>
  <si>
    <t>Injury of multiple nerves at shoulder and upper arm level</t>
  </si>
  <si>
    <t>Injury of other nerves at shoulder and upper arm level</t>
  </si>
  <si>
    <t>Injury of unspecified nerve at shoulder and upper arm level</t>
  </si>
  <si>
    <t>Injury of superficial vein at shoulder and upper arm level</t>
  </si>
  <si>
    <t>Injury of multiple blood vessels shoulder and upper arm level</t>
  </si>
  <si>
    <t>Injury of oth blood vessels at shoulder and upper arm level</t>
  </si>
  <si>
    <t>Injury unspecified blood vessel at shoulder and upper arm level</t>
  </si>
  <si>
    <t>Injury of tendon of the rotator cuff of shoulder</t>
  </si>
  <si>
    <t>Injury of muscle and tendon of long head of biceps</t>
  </si>
  <si>
    <t>Injury of muscle and tendon of other parts of biceps</t>
  </si>
  <si>
    <t>Injury of muscle and tendon of triceps</t>
  </si>
  <si>
    <t>Injury multiple muscles and tendons shoulder and upper arm level</t>
  </si>
  <si>
    <t>Injury of other muscles and tendons at shoulder and upper arm level</t>
  </si>
  <si>
    <t>Injury unspecified muscle and tendon at shoulder and upper arm level</t>
  </si>
  <si>
    <t>Crushing injury of shoulder and upper arm</t>
  </si>
  <si>
    <t>Multiple injuries of shoulder and upper arm</t>
  </si>
  <si>
    <t>Other specified injuries of shoulder and upper arm</t>
  </si>
  <si>
    <t>Unspecified injury of shoulder and upper arm</t>
  </si>
  <si>
    <t>Contusion of elbow</t>
  </si>
  <si>
    <t>Contusion of other and unspecified parts of forearm</t>
  </si>
  <si>
    <t>Multiple superficial injuries of forearm</t>
  </si>
  <si>
    <t>Other superficial injuries of forearm</t>
  </si>
  <si>
    <t>Abrasion of elbow and forearm (IM)</t>
  </si>
  <si>
    <t>Blister of elbow and forearm (IM)</t>
  </si>
  <si>
    <t>Insect bite of elbow and forearm (IM)</t>
  </si>
  <si>
    <t>Superficial foreign body of elbow and forearm (IM)</t>
  </si>
  <si>
    <t>Other superficial injuries of elbow and forearm (IM)</t>
  </si>
  <si>
    <t>Superficial injury of forearm, unspecified</t>
  </si>
  <si>
    <t>Open wound of elbow</t>
  </si>
  <si>
    <t>Open wound of forearm (IM)</t>
  </si>
  <si>
    <t>Multiple open wounds of forearm</t>
  </si>
  <si>
    <t>Open wound of other parts of forearm</t>
  </si>
  <si>
    <t>Open wound of forearm, part unspecified</t>
  </si>
  <si>
    <t>Fracture of upper end of ulna</t>
  </si>
  <si>
    <t>Fracture of upper end of ulna, closed</t>
  </si>
  <si>
    <t>Closed Fracture of proximal ulna, olecranon (IM)</t>
  </si>
  <si>
    <t>Closed Fracture of proximal ulna, coronoid process (IM)</t>
  </si>
  <si>
    <t>Closed Fracture of proximal ulna, with dislocation of radial head (IM)</t>
  </si>
  <si>
    <t>Closed Fracture of epiphysis of proximal ulna (IM)</t>
  </si>
  <si>
    <t>Closed Fracture of proximal ulna, multiple fracture (IM)</t>
  </si>
  <si>
    <t>Closed Fracture of proximal ulna, others (IM)</t>
  </si>
  <si>
    <t>Closed Fracture of proximal ulna, unspecified (IM)</t>
  </si>
  <si>
    <t>Fracture of upper end of radius</t>
  </si>
  <si>
    <t>Fracture of upper end of radius, closed</t>
  </si>
  <si>
    <t>Closed Fracture of head of radius (IM)</t>
  </si>
  <si>
    <t>Closed Fracture of neck of radius (IM)</t>
  </si>
  <si>
    <t>Closed Fracture of epiphysis of upper end of radius (IM)</t>
  </si>
  <si>
    <t>Closed Fracture of upper end of radius, multiple fractures (IM)</t>
  </si>
  <si>
    <t>Closed Fracture of upper end of radius, others (IM)</t>
  </si>
  <si>
    <t>Closed Fracture of upper end of radius, unspecified (IM)</t>
  </si>
  <si>
    <t>Fracture of shaft of ulna</t>
  </si>
  <si>
    <t>Fracture of shaft of ulna, closed</t>
  </si>
  <si>
    <t>Closed Fracture of shaft of ulna, simple fracture (IM)</t>
  </si>
  <si>
    <t>Closed Fracture of shaft of ulna, butterfly fracture (IM)</t>
  </si>
  <si>
    <t>Closed Fracture of shaft of ulna, comminuted fracture (IM)</t>
  </si>
  <si>
    <t>Closed Fracture of shaft of ulna, with dislocation of radial head (IM)</t>
  </si>
  <si>
    <t>Closed Fracture of shaft of ulna, bifocal and segmental and multiple fractures (IM)</t>
  </si>
  <si>
    <t>Closed Fracture of shaft of ulna, unspecified (IM)</t>
  </si>
  <si>
    <t>Fracture of shaft of radius</t>
  </si>
  <si>
    <t>Fracture of shaft of radius, closed</t>
  </si>
  <si>
    <t>Closed Fracture of shaft of radius, simple fracture (IM)</t>
  </si>
  <si>
    <t>Closed Fracture of shaft of radius, butterfly fracture (IM)</t>
  </si>
  <si>
    <t>Closed Fracture of shaft of radius, comminuted fracture (IM)</t>
  </si>
  <si>
    <t>Closed Fracture of shaft of radius, with dislocation of head of ulna (IM)</t>
  </si>
  <si>
    <t>Closed fracture of shaft of radius, bifocal and segmental and multiple fractures (IM)</t>
  </si>
  <si>
    <t>Closed Fracture of shaft of radius, unspecified (IM)</t>
  </si>
  <si>
    <t>Fracture of shafts of both ulna and radius</t>
  </si>
  <si>
    <t>Fracture of shafts of both ulna and radius, closed</t>
  </si>
  <si>
    <t>Fracture of lower end of radius</t>
  </si>
  <si>
    <t>Fracture of lower end of radius, closed</t>
  </si>
  <si>
    <t>Closed Fracture of distal radius, extraarticular with dorsal angulation (IM)</t>
  </si>
  <si>
    <t>Closed Fracture of distal radius, extraarticular with volar angulation (IM)</t>
  </si>
  <si>
    <t>Closed Fracture of distal radius, partial intraarticular (IM)</t>
  </si>
  <si>
    <t>Closed Fracture of distal radius, complete intraarticular (IM)</t>
  </si>
  <si>
    <t>Closed Fracture of epiphysis of distal radius (IM)</t>
  </si>
  <si>
    <t>Closed Fracture of distal radius, multiple fractures (IM)</t>
  </si>
  <si>
    <t>Closed Fracture of distal radius, others (IM)</t>
  </si>
  <si>
    <t>Closed Fracture of distal radius, unspecified (IM)</t>
  </si>
  <si>
    <t>Fracture of lower end of both ulna and radius</t>
  </si>
  <si>
    <t>Fracture of lower end of both ulna and radius, closed</t>
  </si>
  <si>
    <t>Multiple fractures of forearm</t>
  </si>
  <si>
    <t>Multiple fractures of forearm , closed</t>
  </si>
  <si>
    <t>Closed Fracture both bones of proximal part of radius and ulna (IM)</t>
  </si>
  <si>
    <t>Multiple closed fractures of forearm, others (IM)</t>
  </si>
  <si>
    <t>Multiple closed fractures of forearm, unspecified (IM)</t>
  </si>
  <si>
    <t>Fracture of other parts of forearm</t>
  </si>
  <si>
    <t>Fracture of other parts of forearm , closed</t>
  </si>
  <si>
    <t>Fracture of forearm, part unspecified</t>
  </si>
  <si>
    <t>Fracture of forearm, part unspecified , closed</t>
  </si>
  <si>
    <t>Dislocation of radial head</t>
  </si>
  <si>
    <t>Dislocation of radial head (IM)</t>
  </si>
  <si>
    <t>Subluxation of radial head (IM)</t>
  </si>
  <si>
    <t>Pulled elbow in children (IM)</t>
  </si>
  <si>
    <t>Dislocation of elbow, unspecified</t>
  </si>
  <si>
    <t>Dislocation of elbow, anterior (IM)</t>
  </si>
  <si>
    <t>Dislocation of elbow, posterior (IM)</t>
  </si>
  <si>
    <t>Dislocation of elbow, medial (IM)</t>
  </si>
  <si>
    <t>Dislocation of elbow, lateral (IM)</t>
  </si>
  <si>
    <t>Dislocation of elbow, divergen (IM)</t>
  </si>
  <si>
    <t>Dislocation of elbow, with associated fracture (IM)</t>
  </si>
  <si>
    <t>Dislocation of elbow, other (IM)</t>
  </si>
  <si>
    <t>Dislocation of elbow, unspecified (IM)</t>
  </si>
  <si>
    <t>Traumatic rupture of radial collateral ligament</t>
  </si>
  <si>
    <t>Traumatic rupture of ulnar collateral ligament</t>
  </si>
  <si>
    <t>Sprain and strain of elbow</t>
  </si>
  <si>
    <t>Injury of cutaneous sensory nerve at forearm level</t>
  </si>
  <si>
    <t>Injury of other nerves at forearm level</t>
  </si>
  <si>
    <t>Injury of unspecified nerve at forearm level</t>
  </si>
  <si>
    <t>Injury of vein at forearm level</t>
  </si>
  <si>
    <t>Injury of multiple blood vessels at forearm level</t>
  </si>
  <si>
    <t>Injury of other blood vessels at forearm level</t>
  </si>
  <si>
    <t>Injury of unspecified blood vessel at forearm level</t>
  </si>
  <si>
    <t>Injury of flexor muscle and tendon of thumb at forearm level</t>
  </si>
  <si>
    <t>Injury long flexor muscle and tendon other finger(s) forearm level</t>
  </si>
  <si>
    <t>Injury of other flexor muscle and tendon at forearm level</t>
  </si>
  <si>
    <t>Injury extensor or abductor muscles and tendons of thumb at forearm level</t>
  </si>
  <si>
    <t>Injury extensor muscle and tendon oth finger(s) at forearm level</t>
  </si>
  <si>
    <t>Injury of other extensor muscle and tendon at forearm level</t>
  </si>
  <si>
    <t>Injury of multiple muscles and tendons at forearm level</t>
  </si>
  <si>
    <t>Injury other and unspecified muscles and tendons at forearm level</t>
  </si>
  <si>
    <t>Crushing injury of elbow</t>
  </si>
  <si>
    <t>Crushing injury of other parts of forearm</t>
  </si>
  <si>
    <t>Crushing injury of forearm, part unspecified</t>
  </si>
  <si>
    <t>Multiple injuries of forearm</t>
  </si>
  <si>
    <t>Other specified injuries of forearm</t>
  </si>
  <si>
    <t>Unspecified injury of forearm</t>
  </si>
  <si>
    <t>Contusion of finger(s) without damage to nail</t>
  </si>
  <si>
    <t>Contusion of finger(s) with damage to nail</t>
  </si>
  <si>
    <t>Contusion of other parts of wrist and hand</t>
  </si>
  <si>
    <t>Multiple superficial injuries of wrist and hand</t>
  </si>
  <si>
    <t>Other superficial injuries of wrist and hand</t>
  </si>
  <si>
    <t>Abrasion of wrist and hand (IM)</t>
  </si>
  <si>
    <t>Blister of wrist and hand (IM)</t>
  </si>
  <si>
    <t>Insect bite of wrist and hand (IM)</t>
  </si>
  <si>
    <t>Superficial foreign body of wrist and hand (IM)</t>
  </si>
  <si>
    <t>Other superficial injuries of wrist and hand (IM)</t>
  </si>
  <si>
    <t>Superficial injury of wrist and hand, unspecified</t>
  </si>
  <si>
    <t>Open wound of finger(s) without damage to nail</t>
  </si>
  <si>
    <t>Open wound of finger(s) with damage to nail</t>
  </si>
  <si>
    <t>Multiple open wounds of wrist and hand</t>
  </si>
  <si>
    <t>Open wound of other parts of wrist and hand</t>
  </si>
  <si>
    <t>Open wound of wrist and hand part, part unspecified</t>
  </si>
  <si>
    <t>Fracture of navicular [scaphoid] bone of hand</t>
  </si>
  <si>
    <t>Fracture of navicular [scaphoid] bone of hand , closed</t>
  </si>
  <si>
    <t>Fracture of navicular [scaphoid] bone of hand , open</t>
  </si>
  <si>
    <t>Fracture of other carpal bone(s)</t>
  </si>
  <si>
    <t>Fracture of other carpal bone(s) , closed</t>
  </si>
  <si>
    <t>Closed Fracture of lunate [semilunar] (IM)</t>
  </si>
  <si>
    <t>Open Fracture of lunate [semilunar] (IM)</t>
  </si>
  <si>
    <t>Fracture of other carpal bone(s) , open</t>
  </si>
  <si>
    <t>Closed Fracture of triquetrum [cuneiform] (IM)</t>
  </si>
  <si>
    <t>Open Fracture of triquetrum [cuneiform] (IM)</t>
  </si>
  <si>
    <t>Closed Fracture of pisiform (IM)</t>
  </si>
  <si>
    <t>Open Fracture of pisiform (IM)</t>
  </si>
  <si>
    <t>Closed Fracture of trapezium [greater multangular] (IM)</t>
  </si>
  <si>
    <t>Open Fracture of trapezium [greater multangular] (IM)</t>
  </si>
  <si>
    <t>Closed Fracture of trapezoid [lesser multangular] (IM)</t>
  </si>
  <si>
    <t>Open Fracture of trapezoid [lesser multangular] (IM)</t>
  </si>
  <si>
    <t>Closed Fracture of capitate [os magnum] (IM)</t>
  </si>
  <si>
    <t>Open Fracture of capitate [os magnum] (IM)</t>
  </si>
  <si>
    <t>Closed Fracture of hamate [unciform] (IM)</t>
  </si>
  <si>
    <t>Open Fracture of hamate [unciform] (IM)</t>
  </si>
  <si>
    <t>Closed Fracture of other carpal bones, multiple fractures (IM)</t>
  </si>
  <si>
    <t>Open Fracture of other carpal bones, multiple fractures (IM)</t>
  </si>
  <si>
    <t>Closed Fracture of other carpal bones, unspecified (IM)</t>
  </si>
  <si>
    <t>Open Fracture of other carpal bones, unspecified (IM)</t>
  </si>
  <si>
    <t>Fracture of first metacarpal bone</t>
  </si>
  <si>
    <t>Fracture of first metacarpal bone , closed</t>
  </si>
  <si>
    <t>Fracture of first metacarpal bone , open</t>
  </si>
  <si>
    <t>Fracture of other metacarpal bone</t>
  </si>
  <si>
    <t>Fracture of other metacarpal bone, closed</t>
  </si>
  <si>
    <t>Fracture of other metacarpal bone, open</t>
  </si>
  <si>
    <t>Multiple fractures of metacarpal bones</t>
  </si>
  <si>
    <t>Multiple fractures of metacarpal bones , closed</t>
  </si>
  <si>
    <t>Multiple fractures of metacarpal bones , open</t>
  </si>
  <si>
    <t>Fracture of thumb</t>
  </si>
  <si>
    <t>Fracture of thumb , closed</t>
  </si>
  <si>
    <t>Fracture of thumb , open</t>
  </si>
  <si>
    <t>Fracture of other finger</t>
  </si>
  <si>
    <t>Fracture of other finger , closed</t>
  </si>
  <si>
    <t>Fracture of other finger , open</t>
  </si>
  <si>
    <t>Multiple fractures of fingers</t>
  </si>
  <si>
    <t>Multiple fractures of fingers, closed</t>
  </si>
  <si>
    <t>Multiple fractures of fingers, open</t>
  </si>
  <si>
    <t>Fracture of other and unspecified parts of wrist and hand</t>
  </si>
  <si>
    <t>Fracture of other and unspecified parts of wrist and hand, closed</t>
  </si>
  <si>
    <t>Fracture of other and unspecified parts of wrist and hand, open</t>
  </si>
  <si>
    <t>Dislocation of wrist</t>
  </si>
  <si>
    <t>Dislocation of wrist, distal radioulnar joint (IM)</t>
  </si>
  <si>
    <t>Dislocation of wrist, radiocarpal joint (IM)</t>
  </si>
  <si>
    <t>Dislocation of wrist, midcarpal joint (IM)</t>
  </si>
  <si>
    <t>Dislocation of wrist, carpometacarpal joint (IM)</t>
  </si>
  <si>
    <t>Dislocation of wrist, other (IM)</t>
  </si>
  <si>
    <t>Dislocation of wrist, unspecified joint (IM)</t>
  </si>
  <si>
    <t>Dislocation of finger</t>
  </si>
  <si>
    <t>Dislocation of metacarpophalangeal joint (MCP) of thumb and fingers (IM)</t>
  </si>
  <si>
    <t>Dislocation of interphalangeal joint of thumb and finger (IM)</t>
  </si>
  <si>
    <t>Dislocation of thumb and finger, unspecified joint (IM)</t>
  </si>
  <si>
    <t>Multiple dislocations of fingers</t>
  </si>
  <si>
    <t>Traumatic rupture of ligament of wrist and carpus</t>
  </si>
  <si>
    <t>Traumatic rupture of ligament of finger at metacarpophalangeal and interphalangeal joint(s)</t>
  </si>
  <si>
    <t>Sprain and strain of wrist</t>
  </si>
  <si>
    <t>Sprain and strain of finger(s)</t>
  </si>
  <si>
    <t>Sprain and strain of other and unspecified parts of hand</t>
  </si>
  <si>
    <t>Injury of digital nerve of thumb</t>
  </si>
  <si>
    <t>Injury of digital nerve of other finger</t>
  </si>
  <si>
    <t>Injury of multiple nerves at wrist and hand level</t>
  </si>
  <si>
    <t>Injury of other nerves at wrist and hand level</t>
  </si>
  <si>
    <t>Injury of unspecified nerve at wrist and hand level</t>
  </si>
  <si>
    <t>Injury of superficial palmar arch</t>
  </si>
  <si>
    <t>Injury of deep palmar arch</t>
  </si>
  <si>
    <t>Injury of blood vessel(s) of thumb</t>
  </si>
  <si>
    <t>Injury of blood vessel(s) of other finger</t>
  </si>
  <si>
    <t>Injury of multiple blood vessels at wrist and hand level</t>
  </si>
  <si>
    <t>Injury of other blood vessels at wrist and hand level</t>
  </si>
  <si>
    <t>Injury of unspecified blood vessel at wrist and hand level</t>
  </si>
  <si>
    <t>Injury of long flexor muscle and tendon of thumb at wrist and hand level</t>
  </si>
  <si>
    <t>Injury of flexor muscle and tendon of other finger at wrist and hand level</t>
  </si>
  <si>
    <t>Injury of extensor muscle and tendon of thumb at wrist and hand level</t>
  </si>
  <si>
    <t>Injury of extensor muscle and tendon of other finger at wrist and hand level</t>
  </si>
  <si>
    <t>Injury of intrinsic muscle and tendon of thumb at wrist and hand level</t>
  </si>
  <si>
    <t>Injury of intrinsic muscle and tendon other finger at wrist and hand level</t>
  </si>
  <si>
    <t>Injury of multiple flexor muscles and tendons at wrist and hand level</t>
  </si>
  <si>
    <t>Injury of multiple extensor muscles and tendons at wrist and hand level</t>
  </si>
  <si>
    <t>Injury of other muscles and tendons at wrist and hand level</t>
  </si>
  <si>
    <t>Injury unspecified muscle and tendon at wrist and hand level</t>
  </si>
  <si>
    <t>Crushing injury of thumb and other finger(s)</t>
  </si>
  <si>
    <t>Crush injury other and unspecified parts of wrist and hand</t>
  </si>
  <si>
    <t>Traumatic amputation of thumb (complete)(partial)</t>
  </si>
  <si>
    <t>Traumatic amputation of other single finger (complete)(partial)</t>
  </si>
  <si>
    <t>Traumatic amputation two or more fingers alone (cmpte/part)</t>
  </si>
  <si>
    <t>Multiple injuries of wrist and hand</t>
  </si>
  <si>
    <t>Other specified injuries of wrist and hand</t>
  </si>
  <si>
    <t>Unspecified injury of wrist and hand</t>
  </si>
  <si>
    <t>Contusion of hip</t>
  </si>
  <si>
    <t>Contusion of thigh</t>
  </si>
  <si>
    <t>Multiple superficial injuries of hip and thigh</t>
  </si>
  <si>
    <t>Other superficial injuries of hip and thigh</t>
  </si>
  <si>
    <t>Abrasion of hip and thigh (IM)</t>
  </si>
  <si>
    <t>Blister of hip and thigh (IM)</t>
  </si>
  <si>
    <t>Insect bite of hip and thigh (IM)</t>
  </si>
  <si>
    <t>Superficial foreign body of hip and thigh (IM)</t>
  </si>
  <si>
    <t>Other superficial injuries of hip and thigh (IM)</t>
  </si>
  <si>
    <t>Superficial injury of hip and thigh, unspecified</t>
  </si>
  <si>
    <t>Open wound of hip</t>
  </si>
  <si>
    <t>Open wound of thigh</t>
  </si>
  <si>
    <t>Multiple open wounds of hip and thigh</t>
  </si>
  <si>
    <t>Open wound of other and unspecified parts of pelvic girdle</t>
  </si>
  <si>
    <t>Dislocation of hip</t>
  </si>
  <si>
    <t>Dislocation of hip, anterior (IM)</t>
  </si>
  <si>
    <t>Dislocation of hip, posterior type with or without minor fracture (IM)</t>
  </si>
  <si>
    <t>Dislocation of hip, posterior type with large single fracture (IM)</t>
  </si>
  <si>
    <t>Dislocation of hip, posterior type with comminution of rim (IM)</t>
  </si>
  <si>
    <t>Dislocation of hip, posterior type with fracture of the acetabular (IM)</t>
  </si>
  <si>
    <t>Dislocation of hip, posterior type with fracture of head of femur (IM)</t>
  </si>
  <si>
    <t>Dislocation of hip, other (IM)</t>
  </si>
  <si>
    <t>Dislocation of hip, unspecified (IM)</t>
  </si>
  <si>
    <t>Sprain and strain of hip</t>
  </si>
  <si>
    <t>Injury of cutaneous sensory nerve at hip and thigh level</t>
  </si>
  <si>
    <t>Injury of other nerves at hip and thigh level</t>
  </si>
  <si>
    <t>Injury of unspecified nerve at hip and thigh level</t>
  </si>
  <si>
    <t>Injury of greater saphenous vein at hip and thigh level</t>
  </si>
  <si>
    <t>Injury of multiple blood vessels at hip and thigh level</t>
  </si>
  <si>
    <t>Injury of other blood vessels at hip and thigh level</t>
  </si>
  <si>
    <t>Injury of unspecified blood vessel at hip and thigh level</t>
  </si>
  <si>
    <t>Injury of muscle and tendon of hip</t>
  </si>
  <si>
    <t>Injury of quadriceps muscle and tendon</t>
  </si>
  <si>
    <t>Injury of adductor muscle and tendon of thigh</t>
  </si>
  <si>
    <t>Injury of muscle and tendon of the posterior muscle group at thigh level</t>
  </si>
  <si>
    <t>Injury of other and unspec muscles and tendons at thigh level</t>
  </si>
  <si>
    <t>Injury of multiple muscles and tendons at hip &amp; thigh level</t>
  </si>
  <si>
    <t>Crushing injury of hip</t>
  </si>
  <si>
    <t>Crushing injury of thigh</t>
  </si>
  <si>
    <t>Crushing injury of hip with thigh</t>
  </si>
  <si>
    <t>Multiple injuries of hip and thigh</t>
  </si>
  <si>
    <t>Other specified injuries of hip and thigh</t>
  </si>
  <si>
    <t>Unspecified injury of hip and thigh</t>
  </si>
  <si>
    <t>Contusion of knee</t>
  </si>
  <si>
    <t>Contusion of other and unspecified parts of lower leg</t>
  </si>
  <si>
    <t>Multiple superficial injuries of lower leg</t>
  </si>
  <si>
    <t>Other superficial injuries of lower leg</t>
  </si>
  <si>
    <t>Abrasion of knee and leg (IM)</t>
  </si>
  <si>
    <t>Blister of knee and leg (IM)</t>
  </si>
  <si>
    <t>Insect bite of knee and leg (IM)</t>
  </si>
  <si>
    <t>Superficial foreign body of knee and leg (IM)</t>
  </si>
  <si>
    <t>Other superficial injuries of knee and leg (IM)</t>
  </si>
  <si>
    <t>Superficial injury of lower leg, unspecified</t>
  </si>
  <si>
    <t>Open wound of knee</t>
  </si>
  <si>
    <t>Open wound of leg (IM)</t>
  </si>
  <si>
    <t>Multiple open wounds of lower leg</t>
  </si>
  <si>
    <t>Open wound of other parts of lower leg</t>
  </si>
  <si>
    <t>Open wound of lower leg, part unspecified</t>
  </si>
  <si>
    <t>Fracture of patella</t>
  </si>
  <si>
    <t>Fracture of patella, closed</t>
  </si>
  <si>
    <t>Fracture of patella, open</t>
  </si>
  <si>
    <t>Fracture of upper end of tibia</t>
  </si>
  <si>
    <t>Fracture of upper end of tibia, closed</t>
  </si>
  <si>
    <t>Closed Fracture of proximal tibia, extraarticular (IM)</t>
  </si>
  <si>
    <t>Closed Fracture of proximal tibia, medial condyle (IM)</t>
  </si>
  <si>
    <t>Closed Fracture of proximal tibia, lateral condyle [split] (IM)</t>
  </si>
  <si>
    <t>Closed Fracture of proximal tibia, bicondyle (IM)</t>
  </si>
  <si>
    <t>Closed Fracture of proximal tibia, with ligamentous injury (IM)</t>
  </si>
  <si>
    <t>Closed Isolated fracture of tibial spine and intercondylar eminence (IM)</t>
  </si>
  <si>
    <t>Closed Fracture of epiphysis of proximal tibia (IM)</t>
  </si>
  <si>
    <t>Closed Fracture of proximal tibia, multiple fractures (IM)</t>
  </si>
  <si>
    <t>Closed Fracture of proximal tibia, others (IM)</t>
  </si>
  <si>
    <t>Closed Fracture of proximal tibia, unspecified (IM)</t>
  </si>
  <si>
    <t>Fracture of shaft of tibia</t>
  </si>
  <si>
    <t>Fracture of shaft of tibia, closed</t>
  </si>
  <si>
    <t>Closed Fracture of shaft of tibia with intact fibula (IM)</t>
  </si>
  <si>
    <t>Closed Fracture of shaft of tibia with fracture of fibula at same level (IM)</t>
  </si>
  <si>
    <t>Closed Fracture of shaft of tibia with fracture of fibula at different level (IM)</t>
  </si>
  <si>
    <t>Closed Fracture of shaft of tibia, bifocal and segmental and multiple (IM)</t>
  </si>
  <si>
    <t>Closed Fracture of shaft of tibia, others (IM)</t>
  </si>
  <si>
    <t>Closed Fracture of shaft of tibia, unspecified (IM)</t>
  </si>
  <si>
    <t>Fracture of lower end of tibia</t>
  </si>
  <si>
    <t>Fracture of lower end of tibia, closed</t>
  </si>
  <si>
    <t>Closed Fracture of distal tibia, extraarticular (IM)</t>
  </si>
  <si>
    <t>Closed Fracture of distal tibia, nondisplaced intraarticular (IM)</t>
  </si>
  <si>
    <t>Closed Fracture of distal tibia, displaced intraarticular (IM)</t>
  </si>
  <si>
    <t>Closed Fracture of epiphysis of distal tibia (IM)</t>
  </si>
  <si>
    <t>Closed Fracture of distal tibia, multiple fractures (IM)</t>
  </si>
  <si>
    <t>Closed Fracture of distal tibia, others (IM)</t>
  </si>
  <si>
    <t>Closed Fracture of distal tibia, unspecified (IM)</t>
  </si>
  <si>
    <t>Fracture of fibula alone</t>
  </si>
  <si>
    <t>Fracture of fibula alone, closed</t>
  </si>
  <si>
    <t>Fracture of medial malleolus</t>
  </si>
  <si>
    <t>Fracture of medial malleolus, closed</t>
  </si>
  <si>
    <t>Fracture of medial malleolus , open</t>
  </si>
  <si>
    <t>Fracture of lateral malleolus</t>
  </si>
  <si>
    <t>Fracture of lateral malleolus, closed</t>
  </si>
  <si>
    <t>Fracture of lateral malleolus, open</t>
  </si>
  <si>
    <t>Multiple fractures of lower leg</t>
  </si>
  <si>
    <t>Multiple fractures of lower leg, closed</t>
  </si>
  <si>
    <t>Multiple fractures of lower leg, open</t>
  </si>
  <si>
    <t>Fractures of other parts of lower leg</t>
  </si>
  <si>
    <t>Fractures of other parts of lower leg, closed</t>
  </si>
  <si>
    <t>Fractures of other parts of lower leg, open</t>
  </si>
  <si>
    <t>Fracture of lower leg, part unspecified</t>
  </si>
  <si>
    <t>Fracture of lower leg, part unspecified, closed</t>
  </si>
  <si>
    <t>Fracture of lower leg, part unspecified , open</t>
  </si>
  <si>
    <t>Dislocation of patella</t>
  </si>
  <si>
    <t>Dislocation of knee</t>
  </si>
  <si>
    <t>Tear of meniscus, current</t>
  </si>
  <si>
    <t>Tear of articular cartilage of knee, current</t>
  </si>
  <si>
    <t>Sprain and strain involving (fibular)(tibial) collateral lig knee</t>
  </si>
  <si>
    <t>Sprain and strain involving (anterior)(posterior) cruciate lig knee</t>
  </si>
  <si>
    <t>Avulsion of anterior cruciate ligament (ACL) (IM)</t>
  </si>
  <si>
    <t>Avulsion of posterior cruciate ligament (PCL) (IM)</t>
  </si>
  <si>
    <t>Sprain and strain involving cruciate ligament of knee, unspecified (IM)</t>
  </si>
  <si>
    <t>Sprain and strain of other and unspecified parts of knee</t>
  </si>
  <si>
    <t>Injury to multiple structures of knee</t>
  </si>
  <si>
    <t>Injury of cutaneous sensory nerve at lower leg level</t>
  </si>
  <si>
    <t>Injury of multiple nerves at lower leg level</t>
  </si>
  <si>
    <t>Injury of other nerves at lower leg level</t>
  </si>
  <si>
    <t>Injury of unspecified nerve at lower leg level</t>
  </si>
  <si>
    <t>Injury of greater saphenous vein at lower leg level</t>
  </si>
  <si>
    <t>Injury of lesser saphenous vein at lower leg level</t>
  </si>
  <si>
    <t>Injury of multiple blood vessels at lower leg level</t>
  </si>
  <si>
    <t>Injury of unspecified blood vessel at lower leg level</t>
  </si>
  <si>
    <t>Injury of achilles tendon</t>
  </si>
  <si>
    <t>Injury other muscle(s) tendon(s) of posterior muscle group at low leg level</t>
  </si>
  <si>
    <t>Injury of muscle(s) and tendon(s) of anterior muscle group at lower leg level</t>
  </si>
  <si>
    <t>Injury of muscle(s) and tendon(s) peroneal muscle group at lower leg level</t>
  </si>
  <si>
    <t>Injury of multiple muscles and tendons at lower leg level</t>
  </si>
  <si>
    <t>Injury of other muscles and tendons at lower leg level</t>
  </si>
  <si>
    <t>Injury of unspecified muscle and tendon at lower leg level</t>
  </si>
  <si>
    <t>Crushing injury of knee</t>
  </si>
  <si>
    <t>Crushing injury of other and unspecified parts of lower leg</t>
  </si>
  <si>
    <t>Crushing injury of unspecified parts of knee and leg (IM)</t>
  </si>
  <si>
    <t>Multiple injuries of lower leg</t>
  </si>
  <si>
    <t>Other specified injuries of lower leg</t>
  </si>
  <si>
    <t>Unspecified injury of lower leg</t>
  </si>
  <si>
    <t>Contusion of ankle</t>
  </si>
  <si>
    <t>Contusion of toe(s) without damage to nail</t>
  </si>
  <si>
    <t>Contusion of toe(s) with damage to nail</t>
  </si>
  <si>
    <t>Contusion of other and unspecified parts of foot</t>
  </si>
  <si>
    <t>Multiple superficial injuries of ankle and foot</t>
  </si>
  <si>
    <t>Other superficial injuries of ankle and foot</t>
  </si>
  <si>
    <t>Abrasion of ankle and foot (IM)</t>
  </si>
  <si>
    <t>Blister of ankle and foot (IM)</t>
  </si>
  <si>
    <t>Insect bite of ankle and foot (IM)</t>
  </si>
  <si>
    <t>Superficial foreign body of ankle and foot (IM)</t>
  </si>
  <si>
    <t>Other superficial injuries of ankle and foot (IM)</t>
  </si>
  <si>
    <t>Superficial injury of ankle and foot, unspecified</t>
  </si>
  <si>
    <t>Open wound of ankle</t>
  </si>
  <si>
    <t>Open wound of toe(s) without damage to nail</t>
  </si>
  <si>
    <t>Open wound of toe(s) with damage to nail</t>
  </si>
  <si>
    <t>Open wound of other parts of foot</t>
  </si>
  <si>
    <t>Multiple open wounds of ankle and foot</t>
  </si>
  <si>
    <t>Open wound of ankle and foot, unspecified (IM)</t>
  </si>
  <si>
    <t>Fracture of calcaneus</t>
  </si>
  <si>
    <t>Fracture of calcaneus, closed</t>
  </si>
  <si>
    <t>Fracture of calcaneus , open</t>
  </si>
  <si>
    <t>Fracture of talus</t>
  </si>
  <si>
    <t>Fracture of talus, closed</t>
  </si>
  <si>
    <t>Fracture of talus, open</t>
  </si>
  <si>
    <t>Fracture of other tarsal bone(s)</t>
  </si>
  <si>
    <t>Fracture of other tarsal bone(s) , closed</t>
  </si>
  <si>
    <t>Fracture of other tarsal bone(s) , open</t>
  </si>
  <si>
    <t>Fracture of metatarsal bone</t>
  </si>
  <si>
    <t>Fracture of metatarsal bone, closed</t>
  </si>
  <si>
    <t>Closed Metatarsal fracture, one metatarsal (IM)</t>
  </si>
  <si>
    <t>Open Metatarsal fracture, one metatarsal (IM)</t>
  </si>
  <si>
    <t>Fracture of metatarsal bone , open</t>
  </si>
  <si>
    <t>Closed Metatarsal fracture, two metatarsals (IM)</t>
  </si>
  <si>
    <t>Open Metatarsal fracture, two metatarsals (IM)</t>
  </si>
  <si>
    <t>Closed Metatarsal fracture, three or more metatarsals (IM)</t>
  </si>
  <si>
    <t>Open Metatarsal fracture, three or more metatarsals (IM)</t>
  </si>
  <si>
    <t>Closed Metatarsal fracture, unspecified number of metatarsals (IM)</t>
  </si>
  <si>
    <t>Open Metatarsal fracture, unspecified number of metatarsals (IM)</t>
  </si>
  <si>
    <t>Fracture of great toe</t>
  </si>
  <si>
    <t>Fracture of great toe, closed</t>
  </si>
  <si>
    <t>Fracture of great toe, open</t>
  </si>
  <si>
    <t>Fracture of other toe</t>
  </si>
  <si>
    <t>Fracture of other toe, closed</t>
  </si>
  <si>
    <t>Fracture of other toe, open</t>
  </si>
  <si>
    <t>Multiple fractures of foot</t>
  </si>
  <si>
    <t>Multiple fractures of foot, closed</t>
  </si>
  <si>
    <t>Multiple fractures of foot , open</t>
  </si>
  <si>
    <t>Fracture of foot, unspecified</t>
  </si>
  <si>
    <t>Fracture of foot, unspecified, closed</t>
  </si>
  <si>
    <t>Fracture of foot, unspecified , open</t>
  </si>
  <si>
    <t>Dislocation of ankle joint</t>
  </si>
  <si>
    <t>Dislocation of toe(s)</t>
  </si>
  <si>
    <t>Rupture of ligaments at ankle and foot level</t>
  </si>
  <si>
    <t>Dislocation of other and unspecified parts of foot</t>
  </si>
  <si>
    <t>Sprain and strain of ankle</t>
  </si>
  <si>
    <t>Sprain and strain of toe(s)</t>
  </si>
  <si>
    <t>Sprain and strain of other and unspecified parts of foot</t>
  </si>
  <si>
    <t>Injury of lateral plantar nerve</t>
  </si>
  <si>
    <t>Injury of medial plantar nerve</t>
  </si>
  <si>
    <t>Injury of cutaneous sensory nerve at ankle and foot level</t>
  </si>
  <si>
    <t>Injury of multiple nerves at ankle and foot level</t>
  </si>
  <si>
    <t>Injury of other nerves at ankle and foot level</t>
  </si>
  <si>
    <t>Injury of unspecified nerve at ankle and foot level</t>
  </si>
  <si>
    <t>Injury of dorsal artery of foot</t>
  </si>
  <si>
    <t>Injury of plantar artery of foot</t>
  </si>
  <si>
    <t>Injury of dorsal vein of foot</t>
  </si>
  <si>
    <t>Injury of multiple blood vessels at ankle and foot level</t>
  </si>
  <si>
    <t>Injury of other blood vessels at ankle and foot level</t>
  </si>
  <si>
    <t>Injury of unspecified blood vessel at ankle and foot level</t>
  </si>
  <si>
    <t>Injury muscle and tendon of long flexor muscle toe at ankle and foot level</t>
  </si>
  <si>
    <t>Injury muscle &amp; tendon long extensor muscle toe at ankle and foot level</t>
  </si>
  <si>
    <t>Injury of intrinsic muscle and tendon at ankle and foot level</t>
  </si>
  <si>
    <t>Injury of multi muscles and tendons at ankle and foot level</t>
  </si>
  <si>
    <t>Injury of other muscles and tendons at ankle and foot level</t>
  </si>
  <si>
    <t>Injury of unspec muscle and tendon at ankle and foot level</t>
  </si>
  <si>
    <t>Crushing injury of ankle</t>
  </si>
  <si>
    <t>Crushing injury of toe(s)</t>
  </si>
  <si>
    <t>Crushing injury of other parts of ankle and foot</t>
  </si>
  <si>
    <t>Traumatic amputation of one toe</t>
  </si>
  <si>
    <t>Traumatic amputation of two or more toes</t>
  </si>
  <si>
    <t>Traumatic amputation of other parts of foot</t>
  </si>
  <si>
    <t>Traumatic amputation of foot, level unspecified</t>
  </si>
  <si>
    <t>Multiple injuries of ankle and foot</t>
  </si>
  <si>
    <t>Other specified injuries of ankle and foot</t>
  </si>
  <si>
    <t>Unspecified injury of ankle and foot</t>
  </si>
  <si>
    <t>Superficial injuries involving head with neck</t>
  </si>
  <si>
    <t>Superficial injuries involving thorax with abdomen, lower back and pelvis</t>
  </si>
  <si>
    <t>Superficial injuries involving multiple region of upper limb(s)</t>
  </si>
  <si>
    <t>Superficial injuries involving multiple region of lower limb(s)</t>
  </si>
  <si>
    <t>Superficial injuries involving multiple region upper limb(s) with lower limb(s)</t>
  </si>
  <si>
    <t>Superfic injuries involving oth combinations of body regions</t>
  </si>
  <si>
    <t>Multiple superficial injuries, unspecified</t>
  </si>
  <si>
    <t>Open wounds involving head with neck</t>
  </si>
  <si>
    <t>Open wounds involving multiple regions of upper limb(s)</t>
  </si>
  <si>
    <t>Open wounds involving multiple regions of lower limb(s)</t>
  </si>
  <si>
    <t>Open wounds involving multiple regions of up limb(s) with low limb(s)</t>
  </si>
  <si>
    <t>Open wounds involving other combinations of body regions</t>
  </si>
  <si>
    <t>Multiple open wounds, unspecified</t>
  </si>
  <si>
    <t>Fractures involving head with neck</t>
  </si>
  <si>
    <t>Fractures involving head with neck, closed</t>
  </si>
  <si>
    <t>Fractures involving head with neck, open</t>
  </si>
  <si>
    <t>Fractures involving thorax with lower back and pelvis</t>
  </si>
  <si>
    <t>Fractures involving thorax with lower back and pelvis, closed</t>
  </si>
  <si>
    <t>Fractures involving multiple regions of one upper limb</t>
  </si>
  <si>
    <t>Fractures involving multiple regions of one upper limb, closed</t>
  </si>
  <si>
    <t>Fractures involving multiple regions of one lower limb</t>
  </si>
  <si>
    <t>Fractures involving multiple regions of one lower limb, closed</t>
  </si>
  <si>
    <t>Fractures involving multiple regions of both upper limbs</t>
  </si>
  <si>
    <t>Fractures involving multiple regions of both upper limbs, closed</t>
  </si>
  <si>
    <t>Multiple fractures, unspecified</t>
  </si>
  <si>
    <t>Multiple fractures, unspecified, closed</t>
  </si>
  <si>
    <t>Multiple fractures, unspecified, open</t>
  </si>
  <si>
    <t>Dislocations, sprains and strains involving head with neck</t>
  </si>
  <si>
    <t>Dislocation sprains and strains involving thorax wth lower back and pelvis</t>
  </si>
  <si>
    <t>Dislocation sprains and strains involving multiple regions upper limb(s)</t>
  </si>
  <si>
    <t>Dislocation sprains and strains involving multiple reginns lower limb(s)</t>
  </si>
  <si>
    <t>Dislocation sprains and strains involving multiple regions upper &amp; lower limb(s)</t>
  </si>
  <si>
    <t>Dislocation sprains and strains involving other combinations body regions</t>
  </si>
  <si>
    <t>Multiple dislocations, sprains and strains, unspecified</t>
  </si>
  <si>
    <t>Crushing injuries involving head with neck</t>
  </si>
  <si>
    <t>Crush injuries involving thorax with abdomen lower back and pelvis</t>
  </si>
  <si>
    <t>Crushing injuries involving multiple region of upper limb(s)</t>
  </si>
  <si>
    <t>Crushing injuries involving multiple region of lower limb(s)</t>
  </si>
  <si>
    <t>Crushing injuries involving multiple regions of upper limb(s) with lower limb(s)</t>
  </si>
  <si>
    <t>Crushing injuries of thorax with abdomen, lower back and pelvis with limb(s)</t>
  </si>
  <si>
    <t>Crushing injuries involving other combinations of body regions</t>
  </si>
  <si>
    <t>Multiple crushing injuries, unspecified</t>
  </si>
  <si>
    <t>Multiple traumatic amputations, unspecified</t>
  </si>
  <si>
    <t>Injuries of nerves involving multiple body regions</t>
  </si>
  <si>
    <t>Injuries of blood vessels involving multiple body regions</t>
  </si>
  <si>
    <t>Injuries of muscles and tendons involving multiple body regions</t>
  </si>
  <si>
    <t>Other specified injuries involving multiple body regions</t>
  </si>
  <si>
    <t>Unspecified multiple injuries</t>
  </si>
  <si>
    <t>Fracture of spine, level unspecified</t>
  </si>
  <si>
    <t>Fracture of spine, level unspecified , closed</t>
  </si>
  <si>
    <t>Fracture of spine, level unspecified , open</t>
  </si>
  <si>
    <t>Superficial injury of trunk, level unspecified</t>
  </si>
  <si>
    <t>Open wound of trunk, level unspecified</t>
  </si>
  <si>
    <t>Dislocation sprain and strain unspec joint and ligament trunk</t>
  </si>
  <si>
    <t>Injury unspecified nerve, spinal nerve root and plexus of trunk</t>
  </si>
  <si>
    <t>Injury of unspecified muscle and tendon of trunk</t>
  </si>
  <si>
    <t>Traumatic amputation of trunk, level unspecified</t>
  </si>
  <si>
    <t>Other specified injuries of trunk, level unspecified</t>
  </si>
  <si>
    <t>Unspecified injury of trunk, level unspecified</t>
  </si>
  <si>
    <t>Fracture of upper limb, level unspecified</t>
  </si>
  <si>
    <t>Fracture of upper limb, level unspecified , closed</t>
  </si>
  <si>
    <t>Fracture of upper limb, level unspecified , open</t>
  </si>
  <si>
    <t>Superficial injury of upper limb, level unspecified</t>
  </si>
  <si>
    <t>Open wound of upper limb, level unspecified</t>
  </si>
  <si>
    <t>Disl'n sprain/strain unsp joint &amp; ligament upr limb lvl unsp</t>
  </si>
  <si>
    <t>Injury of unspecified nerve of upper limb, level unspecified</t>
  </si>
  <si>
    <t>Injury of unspec blood vessel of upper limb level unspec act</t>
  </si>
  <si>
    <t>Injury of unspec muscle &amp; tendon of upr limb level unspec act</t>
  </si>
  <si>
    <t>Traumatic amputation of upper limb, level unspecified</t>
  </si>
  <si>
    <t>Other specified injuries of upper limb, level unspecified</t>
  </si>
  <si>
    <t>Unspecified injury of upper limb, level unspecified</t>
  </si>
  <si>
    <t>Fracture of lower limb, level unspecified</t>
  </si>
  <si>
    <t>Fracture of lower limb, level unspecified, closed</t>
  </si>
  <si>
    <t>Fracture of lower limb, level unspecified, open</t>
  </si>
  <si>
    <t>Superficial injury of lower limb, level unspecified</t>
  </si>
  <si>
    <t>Open wound of lower limb, level unspecified</t>
  </si>
  <si>
    <t>Dislocation sprain and strain unspecified joint and ligament of lower limb, level unspecified</t>
  </si>
  <si>
    <t>Injury of unspecified nerve of lower limb, level unspecified</t>
  </si>
  <si>
    <t>Injury of unspecified blood vessel of lower limb level unspecified</t>
  </si>
  <si>
    <t>Injury of unspecified muscle &amp; tendon of lower limb, level unspecified</t>
  </si>
  <si>
    <t>Traumatic amputation of lower limb, level unspecified</t>
  </si>
  <si>
    <t>Other specified injuries of lower limb, level unspecified</t>
  </si>
  <si>
    <t>Unspecified injury of lower limb, level unspecified</t>
  </si>
  <si>
    <t>Superficial injury of unspecified body region</t>
  </si>
  <si>
    <t>Open wound of unspecified body region</t>
  </si>
  <si>
    <t>Fracture of unspecified body region</t>
  </si>
  <si>
    <t>Fracture of unspecified body region, closed</t>
  </si>
  <si>
    <t>Fracture of unspecified body region, open</t>
  </si>
  <si>
    <t>Dislocation, sprain and strain of unspecified body region</t>
  </si>
  <si>
    <t>Injury of nerve(s) of unspecified body region</t>
  </si>
  <si>
    <t>Injury of blood vessel(s) of unspecified body region</t>
  </si>
  <si>
    <t>Injury of muscles and tendons of unspecified body region</t>
  </si>
  <si>
    <t>Crush injury and traumatic amputation of unspec body region</t>
  </si>
  <si>
    <t>Other injuries of unspecified body region</t>
  </si>
  <si>
    <t>Injury, unspecified</t>
  </si>
  <si>
    <t>Traumatic secondary and recurrent haemorrhage</t>
  </si>
  <si>
    <t>Post-traumatic wound infection, not elsewhere classified</t>
  </si>
  <si>
    <t>Traumatic shock</t>
  </si>
  <si>
    <t>Traumatic anuria</t>
  </si>
  <si>
    <t>Traumatic subcutaneous emphysema</t>
  </si>
  <si>
    <t>Subcutaneous emphysema without trauma (IM)</t>
  </si>
  <si>
    <t>Other early complications of trauma</t>
  </si>
  <si>
    <t>Unspecified early complication of trauma</t>
  </si>
  <si>
    <t>Significant Head Trauma</t>
  </si>
  <si>
    <t>Significant Chest Trauma</t>
  </si>
  <si>
    <t>Significant Abdominal Trauma</t>
  </si>
  <si>
    <t>Significant Kidney Trauma</t>
  </si>
  <si>
    <t>Significant Trauma of the Urinary System</t>
  </si>
  <si>
    <t>Significant Trauma of the Pelvis or Spine</t>
  </si>
  <si>
    <t>Significant Trauma of the Upper Limb</t>
  </si>
  <si>
    <t>Significant Trauma of the Lower Limb</t>
  </si>
  <si>
    <t>Not Significant Trauma</t>
  </si>
  <si>
    <t>ICD Code</t>
  </si>
  <si>
    <t>ICD Description</t>
  </si>
  <si>
    <t>A</t>
  </si>
  <si>
    <t>Intracranial</t>
  </si>
  <si>
    <t>Perc angio precereb vess</t>
  </si>
  <si>
    <t>Perc angio intracran ves</t>
  </si>
  <si>
    <t>Cranial sinus I&amp;D</t>
  </si>
  <si>
    <t>Reopen craniotomy site</t>
  </si>
  <si>
    <t>Other craniotomy</t>
  </si>
  <si>
    <t>Other craniectomy</t>
  </si>
  <si>
    <t>Decompressive hemicraniectomy (IM)</t>
  </si>
  <si>
    <t>INTRACEREB CTH-BURR HOLE</t>
  </si>
  <si>
    <t>Incise cerebral meninges</t>
  </si>
  <si>
    <t>Endoscopic assisted evacuation or aspiration of intracerebral hematoma (IM)</t>
  </si>
  <si>
    <t>Stereotactic assisted evacuation or aspiration of intracerebral hematoma (IM)</t>
  </si>
  <si>
    <t>Other brain incision</t>
  </si>
  <si>
    <t>Evacuation or drainage of intracerebral hemorrhage (IM)</t>
  </si>
  <si>
    <t>Microscopic or endoscopic Evacuation of intracerebral hemorrhage (IM)</t>
  </si>
  <si>
    <t>Stereotactic evacuation or drainage of intracerebral hemorrhage (IM)</t>
  </si>
  <si>
    <t>Hemispherectomy</t>
  </si>
  <si>
    <t>Brain lobectomy</t>
  </si>
  <si>
    <t>Other brain excision</t>
  </si>
  <si>
    <t>Stereotactic Brain Lesioning (IM)</t>
  </si>
  <si>
    <t>Excision of complex malignant brain tumor (IM)</t>
  </si>
  <si>
    <t>Excision of complex malignant brain tumor, eloquent location (IM)</t>
  </si>
  <si>
    <t>Excision of complex benign brain tumor (IM)</t>
  </si>
  <si>
    <t>Excision of complex benign brain tumor, eloquent location (IM)</t>
  </si>
  <si>
    <t>Excision of brainstem lesion (IM)</t>
  </si>
  <si>
    <t>Excise skull lesion</t>
  </si>
  <si>
    <t>Elevate skull fx fragmnt</t>
  </si>
  <si>
    <t>Skull flap formation</t>
  </si>
  <si>
    <t>Bone graft to skull</t>
  </si>
  <si>
    <t>Skull plate insertion</t>
  </si>
  <si>
    <t>Cranial osteoplasty NEC</t>
  </si>
  <si>
    <t>Skull plate removal</t>
  </si>
  <si>
    <t>Simple suture of dura</t>
  </si>
  <si>
    <t>Brain meninge repair NEC</t>
  </si>
  <si>
    <t>Meninge vessel ligation</t>
  </si>
  <si>
    <t>Ventriculostomy</t>
  </si>
  <si>
    <t>Endoscopic Ventriculostomy</t>
  </si>
  <si>
    <t>Ventricl shunt-head/neck</t>
  </si>
  <si>
    <t>Ventri shunt-circula sys</t>
  </si>
  <si>
    <t>Ventricl shunt-thorax</t>
  </si>
  <si>
    <t>Ventricl shunt-abdomen</t>
  </si>
  <si>
    <t>Ventri shunt-uninary sys</t>
  </si>
  <si>
    <t>Other ventricular shunt</t>
  </si>
  <si>
    <t>Replace ventricle shunt</t>
  </si>
  <si>
    <t>Remove ventricle shunt</t>
  </si>
  <si>
    <t>Brain repair</t>
  </si>
  <si>
    <t>Insert/replac skull tong</t>
  </si>
  <si>
    <t>LITT lesn brain,guidance</t>
  </si>
  <si>
    <t>LITT les hd/nck,guidance</t>
  </si>
  <si>
    <t>Intracran ves resec-anas</t>
  </si>
  <si>
    <t>Intracran ves resec-repl</t>
  </si>
  <si>
    <t>Intracran vessel excis</t>
  </si>
  <si>
    <t>Occlus intracran ves NEC</t>
  </si>
  <si>
    <t>Extracran-intracr bypass</t>
  </si>
  <si>
    <t>Extracranial-intracranial (EC-IC) high flow bypass (IM)</t>
  </si>
  <si>
    <t>Awake Cerebral Revascularization Surgery (IM)</t>
  </si>
  <si>
    <t>Clipping of aneurysm</t>
  </si>
  <si>
    <t>Aneurysm repair NEC</t>
  </si>
  <si>
    <t>Arterioven fistula rep</t>
  </si>
  <si>
    <t>B</t>
  </si>
  <si>
    <t>Maxilofacial</t>
  </si>
  <si>
    <t>Extraoc musc inj repair</t>
  </si>
  <si>
    <t>Max art lig for epistax</t>
  </si>
  <si>
    <t>Ext carot art lig-epist</t>
  </si>
  <si>
    <t>Epistaxis control NEC</t>
  </si>
  <si>
    <t>Open reduction nasal fx</t>
  </si>
  <si>
    <t>Nasal repair NEC</t>
  </si>
  <si>
    <t>Destruct facial bone les</t>
  </si>
  <si>
    <t>Partial mandibulectomy</t>
  </si>
  <si>
    <t>Partial Maxillectomy/Open Medial Maxillectomy</t>
  </si>
  <si>
    <t>Total Maxillectomy</t>
  </si>
  <si>
    <t>Endoscopic Medial Maxillectomy</t>
  </si>
  <si>
    <t>Part facial ostectom NEC</t>
  </si>
  <si>
    <t>Tot mandibulec w reconst</t>
  </si>
  <si>
    <t>Total mandibulectomy NEC</t>
  </si>
  <si>
    <t>Mandibular reconst NEC</t>
  </si>
  <si>
    <t>Tot face ostect w recons</t>
  </si>
  <si>
    <t>Tot face bone ostect NEC</t>
  </si>
  <si>
    <t>Facial bone reconstr NEC</t>
  </si>
  <si>
    <t>Temporomand arthroplasty</t>
  </si>
  <si>
    <t>Cl osteoplasty mand rami</t>
  </si>
  <si>
    <t>Open osteoplas mand rami</t>
  </si>
  <si>
    <t>Osteoplasty mandible bdy</t>
  </si>
  <si>
    <t>Mand orthognathic op NEC</t>
  </si>
  <si>
    <t>Seg osteoplasty maxilla</t>
  </si>
  <si>
    <t>Tot osteoplasty maxilla</t>
  </si>
  <si>
    <t>Reduction genioplasty</t>
  </si>
  <si>
    <t>Augmentation genioplasty</t>
  </si>
  <si>
    <t>Facial bone repair NEC</t>
  </si>
  <si>
    <t>Reduction facial fx NOS</t>
  </si>
  <si>
    <t>Opn reduct malar/zygo fx</t>
  </si>
  <si>
    <t>Open reduct maxillary fx</t>
  </si>
  <si>
    <t>Open reduct mandible fx</t>
  </si>
  <si>
    <t>open reduct alveolar fx</t>
  </si>
  <si>
    <t>Open reduct face fx NEC</t>
  </si>
  <si>
    <t>Bone graft to face bone</t>
  </si>
  <si>
    <t>Syn implant to face bone</t>
  </si>
  <si>
    <t>Open reduct tm dislocat</t>
  </si>
  <si>
    <t>Remove int fix face bone</t>
  </si>
  <si>
    <t>Facial bone/jnt op NEC</t>
  </si>
  <si>
    <t>C</t>
  </si>
  <si>
    <t>Chest</t>
  </si>
  <si>
    <t>Impl CRT pacemaker sys</t>
  </si>
  <si>
    <t>Implantation of cardiac resynchronization pacemaker without mention of defibrillation, total system (CRT-P), with general anaesthesia (IM)</t>
  </si>
  <si>
    <t>Impl CRT defibrillat sys</t>
  </si>
  <si>
    <t>Implantation of cardiac resynchronization defibrillation, total system (CRT-D) (IM)</t>
  </si>
  <si>
    <t>Implantation of cardiac resynchronization defibrillation, total system (CRT-D), with general anaesthesia (IM)</t>
  </si>
  <si>
    <t>Imp/rep lead lf ven sys</t>
  </si>
  <si>
    <t>Imp/rep CRT pacemakr gen</t>
  </si>
  <si>
    <t>Implantation of CRT- P device with removal of any existing CRT- P or other pacemaker device (IM)</t>
  </si>
  <si>
    <t>Implantation of CRT- P device with removal of any existing CRT- P or other pacemaker device, with general anaesthesia (IM)</t>
  </si>
  <si>
    <t>Explantation or removal of any existing CRT- P or other pacemaker device (IM)</t>
  </si>
  <si>
    <t>Explantation or removal of any existing CRT- P or other pacemaker device, with general anaesthesia (IM)</t>
  </si>
  <si>
    <t>Explantation of removal of Implantable Loop Recorder (ILR) (IM)</t>
  </si>
  <si>
    <t>Imp/rep CRT defib genat</t>
  </si>
  <si>
    <t>Thymectomy NOS</t>
  </si>
  <si>
    <t>VATS with thymectomy (IM)</t>
  </si>
  <si>
    <t>Oth part excision thymus</t>
  </si>
  <si>
    <t>Oth totl excision thymus</t>
  </si>
  <si>
    <t>Thorac part excisn thymus</t>
  </si>
  <si>
    <t>Thorac total exc thymus</t>
  </si>
  <si>
    <t>Thymus field exploration</t>
  </si>
  <si>
    <t>Other incision of thymus</t>
  </si>
  <si>
    <t>Repair of thymus</t>
  </si>
  <si>
    <t>Thymus transplantation</t>
  </si>
  <si>
    <t>Thorac incision thymus</t>
  </si>
  <si>
    <t>Oth thorac op thymus NOS</t>
  </si>
  <si>
    <t>Other thymus ops NOS</t>
  </si>
  <si>
    <t>LITT lesn, guide oth/NOS</t>
  </si>
  <si>
    <t>Thorac exc lung lesion</t>
  </si>
  <si>
    <t>VATS with wedge resection of lung (IM)</t>
  </si>
  <si>
    <t>OPEN ABLTN LUNG LES/TISS</t>
  </si>
  <si>
    <t>THOR ABLTN LUNG LES/TISS</t>
  </si>
  <si>
    <t>ABLTN LUNG TISS NEC/NOS</t>
  </si>
  <si>
    <t>Destroy loc lung les NEC</t>
  </si>
  <si>
    <t>Thorac seg lung resect</t>
  </si>
  <si>
    <t>Oth seg lung resect NOS</t>
  </si>
  <si>
    <t>Thorac lobectomy lung</t>
  </si>
  <si>
    <t>VATS lobectomy of lung (IM)</t>
  </si>
  <si>
    <t>VATS with sleeve lobectomy of lung (IM)</t>
  </si>
  <si>
    <t>VATS with intraoperative radiation therapy (IORT) (IM)</t>
  </si>
  <si>
    <t>Lobectomy of lung NEC</t>
  </si>
  <si>
    <t>Thoracospc pneumonectomy</t>
  </si>
  <si>
    <t>VATS with pneumonectomy (IM)</t>
  </si>
  <si>
    <t>VATS with sleeve pneumonectomy (IM)</t>
  </si>
  <si>
    <t>Other pneumonectomy NOS</t>
  </si>
  <si>
    <t>Other excision of lung</t>
  </si>
  <si>
    <t>Bronchial lacerat suture</t>
  </si>
  <si>
    <t>Bronchial fistula clos</t>
  </si>
  <si>
    <t>Lung laceration closure</t>
  </si>
  <si>
    <t>Bronchial repair NEC</t>
  </si>
  <si>
    <t>Carinal reconstruction</t>
  </si>
  <si>
    <t>Lung repair NEC</t>
  </si>
  <si>
    <t>Exploratory thoracotomy</t>
  </si>
  <si>
    <t>Reopen thoracotomy site</t>
  </si>
  <si>
    <t>Incision of mediastinum</t>
  </si>
  <si>
    <t>Transpleura thoracoscopy</t>
  </si>
  <si>
    <t>Diagnostic VATS with dye (IM)</t>
  </si>
  <si>
    <t>Diagnostic VATS (IM)</t>
  </si>
  <si>
    <t>Mediastinoscopy</t>
  </si>
  <si>
    <t>Other chest wall repair</t>
  </si>
  <si>
    <t>Suture diaphragm lacerat</t>
  </si>
  <si>
    <t>Close diaphragm fistula</t>
  </si>
  <si>
    <t>Other diaphragm repair</t>
  </si>
  <si>
    <t>VATS with plication of diaphragm (IM)</t>
  </si>
  <si>
    <t>Repair of pleura</t>
  </si>
  <si>
    <t>Pericardiotomy</t>
  </si>
  <si>
    <t>VATS with creation of pericardial window (IM)</t>
  </si>
  <si>
    <t>IMPL CARDIAC SUPPORT DEV</t>
  </si>
  <si>
    <t>HEART/PERICARD REPR NEC</t>
  </si>
  <si>
    <t>Opn chest cardiac massag</t>
  </si>
  <si>
    <t>Thor vessel resect/anast</t>
  </si>
  <si>
    <t>Resect thorac ves w repl</t>
  </si>
  <si>
    <t>Partial arch replacement (IM)</t>
  </si>
  <si>
    <t>Thoracic vessel excision</t>
  </si>
  <si>
    <t>Interruption vena cava</t>
  </si>
  <si>
    <t>Percutaneous Vena Cava Filter Implantation (IM)</t>
  </si>
  <si>
    <t>Occlude thoracic ves NEC</t>
  </si>
  <si>
    <t>PDA Stenting/PDA Closure with device in newborn</t>
  </si>
  <si>
    <t>PA Banding (IM)</t>
  </si>
  <si>
    <t>Aorta-subclv-carot bypas</t>
  </si>
  <si>
    <t>Intrathoracic shunt NEC</t>
  </si>
  <si>
    <t>Re-entry operation</t>
  </si>
  <si>
    <t>Thorac duct cannulation</t>
  </si>
  <si>
    <t>Thoracic duct fistulizat</t>
  </si>
  <si>
    <t>Close thoracic duct fist</t>
  </si>
  <si>
    <t>Ligate thoracic duct</t>
  </si>
  <si>
    <t>Thoracic duct op NEC</t>
  </si>
  <si>
    <t>Esophageal incision NEC</t>
  </si>
  <si>
    <t>Esophagectomy NOS</t>
  </si>
  <si>
    <t>Partial esophagectomy</t>
  </si>
  <si>
    <t>Total esophagectomy</t>
  </si>
  <si>
    <t>VATS with esophagostomy and gastrostomy (for esophageal atresia) (IM)</t>
  </si>
  <si>
    <t>VATS with resection and/or anastomosis of esophagus (IM)</t>
  </si>
  <si>
    <t>Thorac esophagoesophagos</t>
  </si>
  <si>
    <t>Thorac esophagogastrost</t>
  </si>
  <si>
    <t>Thorac sm bowel interpos</t>
  </si>
  <si>
    <t>Thorac esophagoenter NEC</t>
  </si>
  <si>
    <t>Thorac lg bowel interpos</t>
  </si>
  <si>
    <t>Thorac esophagocolos NEC</t>
  </si>
  <si>
    <t>Thorac interposition NEC</t>
  </si>
  <si>
    <t>Thorac esophag anast NEC</t>
  </si>
  <si>
    <t>Stern esophagoesophagost</t>
  </si>
  <si>
    <t>Stern esophagogastrostom</t>
  </si>
  <si>
    <t>Stern sm bowel interpos</t>
  </si>
  <si>
    <t>Stern esophagoenter NEC</t>
  </si>
  <si>
    <t>Stern lg bowel interpos</t>
  </si>
  <si>
    <t>Stern esophagocolos NEC</t>
  </si>
  <si>
    <t>Stern interposition NEC</t>
  </si>
  <si>
    <t>Stern esophag anast NEC</t>
  </si>
  <si>
    <t>Suture esophageal lacer</t>
  </si>
  <si>
    <t>Esophagostomy closure</t>
  </si>
  <si>
    <t>Esoph fistula repair NEC</t>
  </si>
  <si>
    <t>Prod subq tunnel no anas</t>
  </si>
  <si>
    <t>Esophageal graft NEC</t>
  </si>
  <si>
    <t>Esophageal repair NEC</t>
  </si>
  <si>
    <t>Diaphragmatic plication</t>
  </si>
  <si>
    <t>Chest cage wedg osteotom</t>
  </si>
  <si>
    <t>Chest cage bone div NEC</t>
  </si>
  <si>
    <t>Ex chest cage bone-gft</t>
  </si>
  <si>
    <t>Oth chest cage ostectomy</t>
  </si>
  <si>
    <t>Tot chest cage ostectomy</t>
  </si>
  <si>
    <t>Bone graft to chest cage</t>
  </si>
  <si>
    <t>Appl ext fix-chest cage</t>
  </si>
  <si>
    <t>Oth chest cage rep/plast</t>
  </si>
  <si>
    <t>Int fixation-chest cage</t>
  </si>
  <si>
    <t>Remov imp dev-chest cage</t>
  </si>
  <si>
    <t>Insert bone stimul-chest</t>
  </si>
  <si>
    <t>D</t>
  </si>
  <si>
    <t>Abdominal</t>
  </si>
  <si>
    <t>Adrenal exploration NOS</t>
  </si>
  <si>
    <t>Unilat adrenal explorat</t>
  </si>
  <si>
    <t>Bilat adrenal explorat</t>
  </si>
  <si>
    <t>Adrenal lesion excision</t>
  </si>
  <si>
    <t>Unilateral adrenalectomy</t>
  </si>
  <si>
    <t>Part adrenalectomy NEC</t>
  </si>
  <si>
    <t>Bilateral adrenalectomy</t>
  </si>
  <si>
    <t>Adrenal incision</t>
  </si>
  <si>
    <t>Adrenal vessel ligation</t>
  </si>
  <si>
    <t>Adrenal repair</t>
  </si>
  <si>
    <t>Adrenal reimplantation</t>
  </si>
  <si>
    <t>Adrenal operation NEC</t>
  </si>
  <si>
    <t>Lap mul seg res lg intes</t>
  </si>
  <si>
    <t>Laparoscopic cecectomy</t>
  </si>
  <si>
    <t>Lap right hemicolectomy</t>
  </si>
  <si>
    <t>Lap res transverse colon</t>
  </si>
  <si>
    <t>Lap left hemicolectomy</t>
  </si>
  <si>
    <t>Lap sigmoidectomy</t>
  </si>
  <si>
    <t>Lap pt ex lrg intest NEC</t>
  </si>
  <si>
    <t>LITT lesn liver,guidance</t>
  </si>
  <si>
    <t>Aorta resection &amp; anast</t>
  </si>
  <si>
    <t>Abd vessel resect/anast</t>
  </si>
  <si>
    <t>Abd vein resect &amp; anast</t>
  </si>
  <si>
    <t>Resect abdm aorta w repl</t>
  </si>
  <si>
    <t>Abd artery resec w repla</t>
  </si>
  <si>
    <t>Abd vein resect w replac</t>
  </si>
  <si>
    <t>Excision of aorta</t>
  </si>
  <si>
    <t>Abdominal artery excis</t>
  </si>
  <si>
    <t>Abdominal vein excision</t>
  </si>
  <si>
    <t>Occlude aorta NEC</t>
  </si>
  <si>
    <t>Occlude abd artery NEC</t>
  </si>
  <si>
    <t>Occlude abd vein NEC</t>
  </si>
  <si>
    <t>Aorta-renal bypass</t>
  </si>
  <si>
    <t>Aorta-iliac-femor bypass</t>
  </si>
  <si>
    <t>Intra-abdomin shunt NEC</t>
  </si>
  <si>
    <t>Endo impl grft abd aorta</t>
  </si>
  <si>
    <t>Simple Endovascular Abdominal Aortic Repair (Simple EVAR) (IM)</t>
  </si>
  <si>
    <t>Complex Endovascular Abdominal Aortic Repair (Complex EVAR) with IVUS (IM)</t>
  </si>
  <si>
    <t>Complex Endovascular Abdominal Aortic Repair (Complex EVAR) with CUFF Extension (IM)</t>
  </si>
  <si>
    <t>Complex Endovascular Abdominal Aortic Repair (Complex EVAR) with Embolization (IM)</t>
  </si>
  <si>
    <t>Complex Endovascular Abdominal Aortic Repair (Complex EVAR) with Chimney (IM)</t>
  </si>
  <si>
    <t>Complex Endovascular Abdominal Aortic Repair (Complex EVAR) with Fenestrated (IM)</t>
  </si>
  <si>
    <t>Complex Endovascular Abdominal Aortic Repair (Complex EVAR) with Endo anchor (IM)</t>
  </si>
  <si>
    <t>EVAR with Branches (IM)</t>
  </si>
  <si>
    <t>Hybrid EVAR (IM)</t>
  </si>
  <si>
    <t>ENDO IMP GRFT THOR AORTA</t>
  </si>
  <si>
    <t>Simple Endovascular Thoracic Aortic Repair (Simple TEVAR) (IM)</t>
  </si>
  <si>
    <t>Complex Endovascular Thoracic Aortic Repair (Complex TEVAR) with IVUS (IM)</t>
  </si>
  <si>
    <t>Complex Endovascular Thoracic Aortic Repair (Complex TEVAR) with CUFF Extension (IM)</t>
  </si>
  <si>
    <t>Complex Endovascular Thoracic Aortic Repair (Complex TEVAR) with Embolization (IM)</t>
  </si>
  <si>
    <t>Complex Endovascular Thoracic Aortic Repair (Complex TEVAR) with Chimney (IM)</t>
  </si>
  <si>
    <t>Complex Endovascular Thoracic Aortic Repair (Complex TEVAR) with Fenestrated (IM)</t>
  </si>
  <si>
    <t>Complex Endovascular Thoracic Aortic Repair (Complex TEVAR) with Endo anchor (IM)</t>
  </si>
  <si>
    <t>Complex Endovascular Thoracic Aortic Repair (Complex TEVAR) with Customized Device (IM)</t>
  </si>
  <si>
    <t>Hybrid TEVAR (IM)</t>
  </si>
  <si>
    <t>Partial splenectomy</t>
  </si>
  <si>
    <t>Total splenectomy</t>
  </si>
  <si>
    <t>Spleen transplantation</t>
  </si>
  <si>
    <t>Repair of spleen</t>
  </si>
  <si>
    <t>Gastrotomy</t>
  </si>
  <si>
    <t>Other gastrostomy</t>
  </si>
  <si>
    <t>Proximal gastrectomy</t>
  </si>
  <si>
    <t>Distal gastrectomy</t>
  </si>
  <si>
    <t>Part gastrec w jej anast</t>
  </si>
  <si>
    <t>Part gast w jej transpos</t>
  </si>
  <si>
    <t>Partial gastrectomy NEC</t>
  </si>
  <si>
    <t>Tot gast w intes interpo</t>
  </si>
  <si>
    <t>Total gastrectomy NEC</t>
  </si>
  <si>
    <t>Vagotomy NOS</t>
  </si>
  <si>
    <t>Truncal vagotomy</t>
  </si>
  <si>
    <t>Highly select vagotomy</t>
  </si>
  <si>
    <t>Selective vagotomy NEC</t>
  </si>
  <si>
    <t>Transabdomin gastroscopy</t>
  </si>
  <si>
    <t>Other pyloroplasty</t>
  </si>
  <si>
    <t>High gastric bypass</t>
  </si>
  <si>
    <t>Lap gastroenterostomy</t>
  </si>
  <si>
    <t>Gastroenterostomy NEC</t>
  </si>
  <si>
    <t>Revision gastric anastom</t>
  </si>
  <si>
    <t>Suture gastric lacerat</t>
  </si>
  <si>
    <t>Close gastric fistul NEC</t>
  </si>
  <si>
    <t>Gastric repair NEC</t>
  </si>
  <si>
    <t>Intraop gastric manipul</t>
  </si>
  <si>
    <t>Transab sm bowel endosc</t>
  </si>
  <si>
    <t>Transab lg bowel endosc</t>
  </si>
  <si>
    <t>Mult seg sm bowel excis</t>
  </si>
  <si>
    <t>Part sm bowel resect NEC</t>
  </si>
  <si>
    <t>Total removal sm bowel</t>
  </si>
  <si>
    <t>Opn/oth mul seg lg int res</t>
  </si>
  <si>
    <t>Open/oth cecectomy</t>
  </si>
  <si>
    <t>Opn/oth rt hemicolectomy</t>
  </si>
  <si>
    <t>Opn/oth transv colon res</t>
  </si>
  <si>
    <t>Opn/oth lft hemicolectmy</t>
  </si>
  <si>
    <t>Open/oth sigmoidectomy</t>
  </si>
  <si>
    <t>Prt lg intes exc NEC/NOS</t>
  </si>
  <si>
    <t>Lap tot intr-ab colectmy</t>
  </si>
  <si>
    <t>Op tot intr-abd colectmy</t>
  </si>
  <si>
    <t>Tot abd colectmy NEC/NOS</t>
  </si>
  <si>
    <t>Intestinal anastom NOS</t>
  </si>
  <si>
    <t>Sm-to-sm bowel anastom</t>
  </si>
  <si>
    <t>Sm bowel-rect stump anas</t>
  </si>
  <si>
    <t>Small-to-large bowel NEC</t>
  </si>
  <si>
    <t>Lg-to-lg bowel anastom</t>
  </si>
  <si>
    <t>Anal anastomosis</t>
  </si>
  <si>
    <t>Sm bowel exteriorization</t>
  </si>
  <si>
    <t>Resect ext seg sm bowel</t>
  </si>
  <si>
    <t>Lg bowel exteriorization</t>
  </si>
  <si>
    <t>Resect ext seg lg bowel</t>
  </si>
  <si>
    <t>Colostomy NOS</t>
  </si>
  <si>
    <t>Temporary colostomy</t>
  </si>
  <si>
    <t>Permanent colostomy</t>
  </si>
  <si>
    <t>Ileostomy NOS</t>
  </si>
  <si>
    <t>Temporary ileostomy</t>
  </si>
  <si>
    <t>Continent ileostomy</t>
  </si>
  <si>
    <t>Permanent ileostomy NEC</t>
  </si>
  <si>
    <t>Other enterostomy</t>
  </si>
  <si>
    <t>Intest stoma revis NOS</t>
  </si>
  <si>
    <t>Sm bowel stoma revision</t>
  </si>
  <si>
    <t>Pericolost hernia repair</t>
  </si>
  <si>
    <t>Lg bowel stoma revis NEC</t>
  </si>
  <si>
    <t>Intest stoma closure NOS</t>
  </si>
  <si>
    <t>Sm bowel stoma closure</t>
  </si>
  <si>
    <t>Lg bowel stoma closure</t>
  </si>
  <si>
    <t>Intestinal fixation NOS</t>
  </si>
  <si>
    <t>Sm bowel-abd wall fixat</t>
  </si>
  <si>
    <t>Small bowel fixation NEC</t>
  </si>
  <si>
    <t>Lg bowel-abd wall fixat</t>
  </si>
  <si>
    <t>Large bowel fixation NEC</t>
  </si>
  <si>
    <t>Duodenal lacerat suture</t>
  </si>
  <si>
    <t>Duodenal fistula closure</t>
  </si>
  <si>
    <t>Small bowel suture NEC</t>
  </si>
  <si>
    <t>Close sm bowel fist NEC</t>
  </si>
  <si>
    <t>Suture lg bowel lacerat</t>
  </si>
  <si>
    <t>Close lg bowel fistula</t>
  </si>
  <si>
    <t>Repair of intestine NEC</t>
  </si>
  <si>
    <t>Intra-ab bowel manip NOS</t>
  </si>
  <si>
    <t>Intra-abd sm bowel manip</t>
  </si>
  <si>
    <t>Intra-abd lg bowel manip</t>
  </si>
  <si>
    <t>Revise sm bowel anastom</t>
  </si>
  <si>
    <t>Revise lg bowel anastom</t>
  </si>
  <si>
    <t>Transplant of intestine</t>
  </si>
  <si>
    <t>Appendicostomy</t>
  </si>
  <si>
    <t>Close appendiceal fistul</t>
  </si>
  <si>
    <t>Proctotomy</t>
  </si>
  <si>
    <t>Proctostomy</t>
  </si>
  <si>
    <t>Transab proctosigmoidosc</t>
  </si>
  <si>
    <t>Pull-thru res rectum NOS</t>
  </si>
  <si>
    <t>Soave submuc rect resect</t>
  </si>
  <si>
    <t>Lap pull-thru res rectum</t>
  </si>
  <si>
    <t>Opn pull-thru res rectum</t>
  </si>
  <si>
    <t>Pull-thru rect resec NEC</t>
  </si>
  <si>
    <t>Abdperneal res rectm NOS</t>
  </si>
  <si>
    <t>Lap abdperneal resc rec</t>
  </si>
  <si>
    <t>Opn abdperneal resc rec</t>
  </si>
  <si>
    <t>Abdperineal resc rect NEC</t>
  </si>
  <si>
    <t>Transsac rectosigmoidect</t>
  </si>
  <si>
    <t>Ant rect resect w colost</t>
  </si>
  <si>
    <t>Anterior rect resect NEC</t>
  </si>
  <si>
    <t>Laparoscopic anterior rect resect</t>
  </si>
  <si>
    <t>Laparoscopic low anterior rect resect</t>
  </si>
  <si>
    <t>Posterior rect resection</t>
  </si>
  <si>
    <t>Duhamel rectal resection</t>
  </si>
  <si>
    <t>Rectal resection NEC</t>
  </si>
  <si>
    <t>Suture of rectal lacer</t>
  </si>
  <si>
    <t>Closure of proctostomy</t>
  </si>
  <si>
    <t>Close rectal fist NEC</t>
  </si>
  <si>
    <t>Rectorectostomy</t>
  </si>
  <si>
    <t>Repair of rectum NEC</t>
  </si>
  <si>
    <t>Perirectal excision</t>
  </si>
  <si>
    <t>Repair perirect fistula</t>
  </si>
  <si>
    <t>Rectal perirect op NEC</t>
  </si>
  <si>
    <t>Perianal excision NEC</t>
  </si>
  <si>
    <t>Excision of anus</t>
  </si>
  <si>
    <t>Suture anal laceration</t>
  </si>
  <si>
    <t>Anal cerclage</t>
  </si>
  <si>
    <t>Closure of anal fistula</t>
  </si>
  <si>
    <t>Gracilis musc transplan</t>
  </si>
  <si>
    <t>Impl or rev art anal sph</t>
  </si>
  <si>
    <t>Remov art anal sphincter</t>
  </si>
  <si>
    <t>Anal sphinct repair NEC</t>
  </si>
  <si>
    <t>Control anal hemorrhage</t>
  </si>
  <si>
    <t>Hepatotomy</t>
  </si>
  <si>
    <t>Partial hepatectomy</t>
  </si>
  <si>
    <t>OPN ABLTN LIVER LES/TISS</t>
  </si>
  <si>
    <t>PERC ABLTN LIVER LES/TIS</t>
  </si>
  <si>
    <t>LAP ABLTN LIVER LES/TISS</t>
  </si>
  <si>
    <t>ABLTN LIVER LES/TISS NEC</t>
  </si>
  <si>
    <t>Destruc hepatic les NEC</t>
  </si>
  <si>
    <t>Hepatic lobectomy</t>
  </si>
  <si>
    <t>Total hepatectomy</t>
  </si>
  <si>
    <t>Laparoscopic liver resection</t>
  </si>
  <si>
    <t>Closure liver lacerat</t>
  </si>
  <si>
    <t>Liver repair NEC</t>
  </si>
  <si>
    <t>Trocar cholecystostomy</t>
  </si>
  <si>
    <t>Cholecystostomy NEC</t>
  </si>
  <si>
    <t>Cholecystotomy NEC</t>
  </si>
  <si>
    <t>Oth part cholecystectomy</t>
  </si>
  <si>
    <t>Cholecystectomy</t>
  </si>
  <si>
    <t>Laparoscopic cholecystec</t>
  </si>
  <si>
    <t>Lap part cholecystectomy</t>
  </si>
  <si>
    <t>Gb-to-hepat duct anast</t>
  </si>
  <si>
    <t>Gb-to-intestine anastom</t>
  </si>
  <si>
    <t>Gb-to-pancreas anastom</t>
  </si>
  <si>
    <t>Gb-to-stomach anastomos</t>
  </si>
  <si>
    <t>Gallbladder anastom NEC</t>
  </si>
  <si>
    <t>Choledochoenterostomy</t>
  </si>
  <si>
    <t>Hepatic duct-gi anastom</t>
  </si>
  <si>
    <t>Bile duct anastomos NEC</t>
  </si>
  <si>
    <t>Cde for obstruction NEC</t>
  </si>
  <si>
    <t>Choledochohepat intubat</t>
  </si>
  <si>
    <t>Incis obstr bile duc NEC</t>
  </si>
  <si>
    <t>Common duct exploration</t>
  </si>
  <si>
    <t>Bile duct incision NEC</t>
  </si>
  <si>
    <t>Common duct excis NEC</t>
  </si>
  <si>
    <t>Bile duct excision NEC</t>
  </si>
  <si>
    <t>Simple sut-common duct</t>
  </si>
  <si>
    <t>Choledochoplasty</t>
  </si>
  <si>
    <t>Bile duct repair NEC</t>
  </si>
  <si>
    <t>Sphincter of oddi dilat</t>
  </si>
  <si>
    <t>Pancreat sphincterotom</t>
  </si>
  <si>
    <t>Pancreat sphincteroplas</t>
  </si>
  <si>
    <t>Sphinct of oddi op NEC</t>
  </si>
  <si>
    <t>Repair gb laceration</t>
  </si>
  <si>
    <t>Closure cholecystostomy</t>
  </si>
  <si>
    <t>Clos biliary fistul NEC</t>
  </si>
  <si>
    <t>Revis bile tract anastom</t>
  </si>
  <si>
    <t>Remove bile duct prosth</t>
  </si>
  <si>
    <t>Biliary tract op NEC</t>
  </si>
  <si>
    <t>Cath drain-pancreat cyst</t>
  </si>
  <si>
    <t>Pancreatotomy NEC</t>
  </si>
  <si>
    <t>Other destru pancrea les</t>
  </si>
  <si>
    <t>Pancreat cyst marsupiali</t>
  </si>
  <si>
    <t>Int drain pancreat cyst</t>
  </si>
  <si>
    <t>Lap. part. pancreatectomy</t>
  </si>
  <si>
    <t>Proximal pancreatectomy</t>
  </si>
  <si>
    <t>Distal pancreatectomy</t>
  </si>
  <si>
    <t>Rad subtot pancreatectom</t>
  </si>
  <si>
    <t>Partial pancreatect NEC</t>
  </si>
  <si>
    <t>Total pancreatectomy</t>
  </si>
  <si>
    <t>Lap. total pancreatectomy</t>
  </si>
  <si>
    <t>Rad pancreaticoduodenect</t>
  </si>
  <si>
    <t>Laparoscopic pancreaticoduodenect</t>
  </si>
  <si>
    <t>Pancreat transplant NOS</t>
  </si>
  <si>
    <t>Reimplant pancreatic tis</t>
  </si>
  <si>
    <t>Pancreatic homotransplan</t>
  </si>
  <si>
    <t>Pancreatic heterotranspl</t>
  </si>
  <si>
    <t>Islets cell autotransplant</t>
  </si>
  <si>
    <t>Islets cell allotransplant</t>
  </si>
  <si>
    <t>Islets cell transplnt NOS</t>
  </si>
  <si>
    <t>Cannulation pancrea duc</t>
  </si>
  <si>
    <t>Pancreatic repair NEC</t>
  </si>
  <si>
    <t>Pancreatic anastomosis</t>
  </si>
  <si>
    <t>Pancreatic operation NEC</t>
  </si>
  <si>
    <t>Abdominal wall incision</t>
  </si>
  <si>
    <t>Exploratory laparotomy</t>
  </si>
  <si>
    <t>Reopen recent lap site</t>
  </si>
  <si>
    <t>Laparotomy NEC</t>
  </si>
  <si>
    <t>Laparoscopy</t>
  </si>
  <si>
    <t>Destruct abd wall lesion</t>
  </si>
  <si>
    <t>Destruct peritoneal tiss</t>
  </si>
  <si>
    <t>Reclose post op disrupt</t>
  </si>
  <si>
    <t>Delayed clos abd wound</t>
  </si>
  <si>
    <t>Abd wall suture NEC</t>
  </si>
  <si>
    <t>Peritoneal suture</t>
  </si>
  <si>
    <t>Abdomen wall repair NEC</t>
  </si>
  <si>
    <t>Peritoneal repair NEC</t>
  </si>
  <si>
    <t>Omental repair NEC</t>
  </si>
  <si>
    <t>Mesenteric repair NEC</t>
  </si>
  <si>
    <t>Remove FB from periton</t>
  </si>
  <si>
    <t>Create cutanperiton fist</t>
  </si>
  <si>
    <t>Creat peritoneovas shunt</t>
  </si>
  <si>
    <t>Nephrotomy</t>
  </si>
  <si>
    <t>Nephrostomy</t>
  </si>
  <si>
    <t>Percu nephrostm w/o frag</t>
  </si>
  <si>
    <t>Percu nephrostmy w frag</t>
  </si>
  <si>
    <t>Pyelotomy</t>
  </si>
  <si>
    <t>Pyelostomy</t>
  </si>
  <si>
    <t>OPN ABLTN RENAL LES/TISS</t>
  </si>
  <si>
    <t>PERC ABLTN RENL LES/TISS</t>
  </si>
  <si>
    <t>LAP ABLTN RENAL LES/TISS</t>
  </si>
  <si>
    <t>ABLTN RENAL LES/TISS NEC</t>
  </si>
  <si>
    <t>Renal cyst laparoscopic excision</t>
  </si>
  <si>
    <t>Loc destr renal les NEC</t>
  </si>
  <si>
    <t>Partial nephrectomy</t>
  </si>
  <si>
    <t>Laparoscopic partial nephrectomy</t>
  </si>
  <si>
    <t>Nephroureterectomy</t>
  </si>
  <si>
    <t>Laparoscopic nephroureterectomy</t>
  </si>
  <si>
    <t>Laparoscopic complete (radical) nephrectomy</t>
  </si>
  <si>
    <t>Solitary kidney nephrect</t>
  </si>
  <si>
    <t>Living donor nephrectomy</t>
  </si>
  <si>
    <t>Deceased donor nephrectomy (cadaver)</t>
  </si>
  <si>
    <t>Bilateral nephrectomy</t>
  </si>
  <si>
    <t>Renal autotransplant</t>
  </si>
  <si>
    <t>Kidney transplant NEC</t>
  </si>
  <si>
    <t>Nephropexy</t>
  </si>
  <si>
    <t>Laparoscopic nephropexy</t>
  </si>
  <si>
    <t>Suture kidney laceration</t>
  </si>
  <si>
    <t>Close nephrost &amp; pyelost</t>
  </si>
  <si>
    <t>Close renal fistula NEC</t>
  </si>
  <si>
    <t>Reduce renal pedicl tors</t>
  </si>
  <si>
    <t>Renal anastomosis</t>
  </si>
  <si>
    <t>Correct ureteropelv junc</t>
  </si>
  <si>
    <t>Laparoscopic pyeloplasty</t>
  </si>
  <si>
    <t>Renal repair NEC</t>
  </si>
  <si>
    <t>Renal decapsulation</t>
  </si>
  <si>
    <t>Implant mechanic kidney</t>
  </si>
  <si>
    <t>Remov mechanical kidney</t>
  </si>
  <si>
    <t>Renal operation NEC</t>
  </si>
  <si>
    <t>Tu remov ureter obstruct</t>
  </si>
  <si>
    <t>Ureteral meatotomy</t>
  </si>
  <si>
    <t>Ureterotomy</t>
  </si>
  <si>
    <t>Laparoscopic ureterolithotomy or ureteral exploration</t>
  </si>
  <si>
    <t>Laparoscopic ureterolithotomy with previous ureteral surgery</t>
  </si>
  <si>
    <t>Open ureteral exploration</t>
  </si>
  <si>
    <t>Open ureterolithotomy with previous ureteral surgery</t>
  </si>
  <si>
    <t>Ureterectomy NOS</t>
  </si>
  <si>
    <t>Partial ureterectomy</t>
  </si>
  <si>
    <t>Laparoscopic partial ureterectomy</t>
  </si>
  <si>
    <t>Total ureterectomy</t>
  </si>
  <si>
    <t>Laparoscopic complete ureterectomy</t>
  </si>
  <si>
    <t>Endoscopy ureterocele resection</t>
  </si>
  <si>
    <t>Form cutan ileoureterost</t>
  </si>
  <si>
    <t>Laparoscopic ureter transplantation ino intestine</t>
  </si>
  <si>
    <t>Revis cutan ileoureteros</t>
  </si>
  <si>
    <t>Form cutan ureterostomy</t>
  </si>
  <si>
    <t>Laparoscopic ureter transplantation into skin</t>
  </si>
  <si>
    <t>Revis cutan ureteros NEC</t>
  </si>
  <si>
    <t>Laparoscopic ureterostomy revision</t>
  </si>
  <si>
    <t>Urin diversion to bowel</t>
  </si>
  <si>
    <t>Revis ureteroenterostomy</t>
  </si>
  <si>
    <t>Nephrocystanastomosi NOS</t>
  </si>
  <si>
    <t>Ureteroneocystostomy</t>
  </si>
  <si>
    <t>Laparoscopic ureteroneocystostomy</t>
  </si>
  <si>
    <t>Transureteroureterostomy</t>
  </si>
  <si>
    <t>Laparascopic ureteral transplantation into other ureter</t>
  </si>
  <si>
    <t>Laparoscopic ureteral re-implantation into bladder</t>
  </si>
  <si>
    <t>Open ureteral re-implantation into bladder</t>
  </si>
  <si>
    <t>Ureteral re-implantation into bladder with psoas hitch</t>
  </si>
  <si>
    <t>Ureteral anastomosis NEC</t>
  </si>
  <si>
    <t>Intralum urete adhesioly</t>
  </si>
  <si>
    <t>Suture ureteral lacerat</t>
  </si>
  <si>
    <t>Ureterostomy closure</t>
  </si>
  <si>
    <t>Close ureter fistula NEC</t>
  </si>
  <si>
    <t>Ureteropexy</t>
  </si>
  <si>
    <t>Remove ureteral ligature</t>
  </si>
  <si>
    <t>Laparoscopic divided ureteral repair</t>
  </si>
  <si>
    <t>Open divided ureteral repair</t>
  </si>
  <si>
    <t>Repair of ureter NEC</t>
  </si>
  <si>
    <t>Dilation ureteral meatus</t>
  </si>
  <si>
    <t>Endoscopic ureteral dilation</t>
  </si>
  <si>
    <t>Endoscopic destruction of bladder lesion / tissue</t>
  </si>
  <si>
    <t>Endoscopic laser destruction of bladder lesion / tissue</t>
  </si>
  <si>
    <t>Implant ureteral stimul</t>
  </si>
  <si>
    <t>Replace ureteral stimul</t>
  </si>
  <si>
    <t>Remove ureteral stimulat</t>
  </si>
  <si>
    <t>Ligation of ureter</t>
  </si>
  <si>
    <t>Laparoscopic ligation of ureter</t>
  </si>
  <si>
    <t>Endoscopic incision of external urethral sphincter</t>
  </si>
  <si>
    <t>Endoscopic ureteric stent replacement</t>
  </si>
  <si>
    <t>Ureteral operation NEC</t>
  </si>
  <si>
    <t>Transurethral clear blad</t>
  </si>
  <si>
    <t>Endoscopic blood clots evacuation from bladder</t>
  </si>
  <si>
    <t>Cystotomy &amp; adhesiolysis</t>
  </si>
  <si>
    <t>Endoscopic bladder neck incision</t>
  </si>
  <si>
    <t>Other suprapu cystostomy</t>
  </si>
  <si>
    <t>Cystotomy NEC</t>
  </si>
  <si>
    <t>Laparoscopic cystostomy or cystolithotomy</t>
  </si>
  <si>
    <t>Vesicostomy</t>
  </si>
  <si>
    <t>Revise clo vesicostomy</t>
  </si>
  <si>
    <t>Tu adhesiolysis bladder</t>
  </si>
  <si>
    <t>Tu destruc bladd les NEC</t>
  </si>
  <si>
    <t>Bladder les destruct NEC</t>
  </si>
  <si>
    <t>Partial cystectomy</t>
  </si>
  <si>
    <t>Laparoscopic partial cystectomy</t>
  </si>
  <si>
    <t>Radical cystectomy</t>
  </si>
  <si>
    <t>Laparoscopic cystectomy (IM)</t>
  </si>
  <si>
    <t>Cystectomy with formation of cutaneous uretero-ileostomy (Incontinent intestinal urine reservoir for</t>
  </si>
  <si>
    <t>Cystectomy with laparoscopic ureter transplantation into intestine</t>
  </si>
  <si>
    <t>Cystectomy with Intestinal urinary diversion (Continent intestinal urine reservoir formation)</t>
  </si>
  <si>
    <t>Cystectomy with continent valve formation</t>
  </si>
  <si>
    <t>Cystectomy with orthotopic neobladder</t>
  </si>
  <si>
    <t>Repair of bladder exstrophy with osteotomy for bladder exstrophy</t>
  </si>
  <si>
    <t>Total cystectomy NEC</t>
  </si>
  <si>
    <t>Laparoscopic other total cystectomy</t>
  </si>
  <si>
    <t>Suture bladder lacerat</t>
  </si>
  <si>
    <t>Cystostomy closure</t>
  </si>
  <si>
    <t>Laparoscopic vesicointestinal fistula closure</t>
  </si>
  <si>
    <t>Laparoscopic vesicovaginal fistula closure</t>
  </si>
  <si>
    <t>Open vesicointestinal fistula closure</t>
  </si>
  <si>
    <t>Open cutaneous vesical fistula closure</t>
  </si>
  <si>
    <t>Abdominal vesicovaginal fistula closure</t>
  </si>
  <si>
    <t>Laparoscopic cutaneous vesical fistula closure</t>
  </si>
  <si>
    <t>Enterovesico fist repair</t>
  </si>
  <si>
    <t>Vesic fistula repair NEC</t>
  </si>
  <si>
    <t>Cystourethroplasty</t>
  </si>
  <si>
    <t>Other laparoscopic bladder neck repair</t>
  </si>
  <si>
    <t>Bladder reconstruction</t>
  </si>
  <si>
    <t>Laparoscopic bladder enlargement</t>
  </si>
  <si>
    <t>Open bladder enlargement</t>
  </si>
  <si>
    <t>Bladder anastomosis NEC</t>
  </si>
  <si>
    <t>Bladder repair NEC</t>
  </si>
  <si>
    <t>Laparoscopic ruptured bladder repair</t>
  </si>
  <si>
    <t>Bladder sphincterotomy</t>
  </si>
  <si>
    <t>Control bladd hemorrhage</t>
  </si>
  <si>
    <t>Implant bladder stimulat</t>
  </si>
  <si>
    <t>Stimulation of bladder (non-implant)</t>
  </si>
  <si>
    <t>Replace bladder stimulat</t>
  </si>
  <si>
    <t>Remove bladder stimulat</t>
  </si>
  <si>
    <t>Bladder operation NEC</t>
  </si>
  <si>
    <t>Urethrotomy</t>
  </si>
  <si>
    <t>Urethral meatotomy</t>
  </si>
  <si>
    <t>Suture urethral lacerat</t>
  </si>
  <si>
    <t>Urethrostomy closure</t>
  </si>
  <si>
    <t>Close ureth fistula NEC</t>
  </si>
  <si>
    <t>Urethral reanastomosis</t>
  </si>
  <si>
    <t>Ureth reconstruction NEC</t>
  </si>
  <si>
    <t>Urethral meatoplasty</t>
  </si>
  <si>
    <t>Urethral repair NEC</t>
  </si>
  <si>
    <t>Urethroplasty with graft</t>
  </si>
  <si>
    <t>Urethroplasty with flap</t>
  </si>
  <si>
    <t>Urethroplasty with pubectomy</t>
  </si>
  <si>
    <t>Ureth stricture release</t>
  </si>
  <si>
    <t>Periurethral incision</t>
  </si>
  <si>
    <t>Periurethral excision</t>
  </si>
  <si>
    <t>Implt artf urin sphinct</t>
  </si>
  <si>
    <t>Ureth/periureth op NEC</t>
  </si>
  <si>
    <t>Retroperit dissect NOS</t>
  </si>
  <si>
    <t>Periren adhesiolys NEC</t>
  </si>
  <si>
    <t>Lap lys periren/uret adh</t>
  </si>
  <si>
    <t>Periren/ureter incis NEC</t>
  </si>
  <si>
    <t>Oth lys perives adhesio</t>
  </si>
  <si>
    <t>Lap lys perivesureth adh</t>
  </si>
  <si>
    <t>Perivesical incision NEC</t>
  </si>
  <si>
    <t>Ureteral catheterization</t>
  </si>
  <si>
    <t>Endoscopic urethral stent insertion</t>
  </si>
  <si>
    <t>Periren/vesicle excision</t>
  </si>
  <si>
    <t>Periren/vesicle op NEC</t>
  </si>
  <si>
    <t>Incision of prostate</t>
  </si>
  <si>
    <t>Periprostatic incision</t>
  </si>
  <si>
    <t>Periprostatic excision</t>
  </si>
  <si>
    <t>Repair of prostate</t>
  </si>
  <si>
    <t>Control prostate hemorr</t>
  </si>
  <si>
    <t>Trans bal dil pros ureth</t>
  </si>
  <si>
    <t>Prostatic operation NEC</t>
  </si>
  <si>
    <t>Scrotal les destruction</t>
  </si>
  <si>
    <t>Scrotal fistula repair</t>
  </si>
  <si>
    <t>Scrotum/tunic repair NEC</t>
  </si>
  <si>
    <t>Excision tunica les NEC</t>
  </si>
  <si>
    <t>Scrotum &amp; tunica op NEC</t>
  </si>
  <si>
    <t>Incision of testes</t>
  </si>
  <si>
    <t>Exploration scrotal contents and testis, unilateral</t>
  </si>
  <si>
    <t>Testicular les destruct</t>
  </si>
  <si>
    <t>Unilateral orchiectomy</t>
  </si>
  <si>
    <t>Orchidectomy with insertion testicular prosthesis unilateral</t>
  </si>
  <si>
    <t>Laparoscopic orchiectomy</t>
  </si>
  <si>
    <t>Remove both testes</t>
  </si>
  <si>
    <t>Orchidectomy with insertion testicular prosthesis bilateral</t>
  </si>
  <si>
    <t>Radical orchidectomy</t>
  </si>
  <si>
    <t>Remove solitary testis</t>
  </si>
  <si>
    <t>Subcapsular orchidectomy</t>
  </si>
  <si>
    <t>Orchiopexy</t>
  </si>
  <si>
    <t>Laparoscopic orchidopexy</t>
  </si>
  <si>
    <t>Revision orchidopexy for undescended testis</t>
  </si>
  <si>
    <t>Laparoscopic orchidopexy Fowler Stephen</t>
  </si>
  <si>
    <t>Suture testicular lacer</t>
  </si>
  <si>
    <t>Testicular repair NEC</t>
  </si>
  <si>
    <t>Insert testicular prosth</t>
  </si>
  <si>
    <t>Testicular operation NEC</t>
  </si>
  <si>
    <t>Excise cord/epid les NEC</t>
  </si>
  <si>
    <t>Epididymectomy</t>
  </si>
  <si>
    <t>Suture cord &amp; epid lacer</t>
  </si>
  <si>
    <t>Transplant spermat cord</t>
  </si>
  <si>
    <t>Cord &amp; epidid repair NEC</t>
  </si>
  <si>
    <t>Suture vas &amp; epidid lac</t>
  </si>
  <si>
    <t>Vas &amp; epididy repair NEC</t>
  </si>
  <si>
    <t>Epididymotomy</t>
  </si>
  <si>
    <t>Spermatic cord incision</t>
  </si>
  <si>
    <t>Sperm cord adhesiolysis</t>
  </si>
  <si>
    <t>Testicular sperm aspiration (TESA)</t>
  </si>
  <si>
    <t>Testicular sperm extraction (TESE)</t>
  </si>
  <si>
    <t>Cord/epid/vas ops NEC</t>
  </si>
  <si>
    <t>Local excis penile les</t>
  </si>
  <si>
    <t>Excision of sclerofibromatosis penis</t>
  </si>
  <si>
    <t>Amputation of penis</t>
  </si>
  <si>
    <t>Partial amputation of penis</t>
  </si>
  <si>
    <t>Suture penile laceration</t>
  </si>
  <si>
    <t>Construction of penis</t>
  </si>
  <si>
    <t>Reconstruction of penis</t>
  </si>
  <si>
    <t>Reconstruction of buried penis</t>
  </si>
  <si>
    <t>Replantation of penis</t>
  </si>
  <si>
    <t>Repair fracture penis</t>
  </si>
  <si>
    <t>Penile repair NEC</t>
  </si>
  <si>
    <t>Phalloplasty</t>
  </si>
  <si>
    <t>Incision of penis</t>
  </si>
  <si>
    <t>Division of penile adhes</t>
  </si>
  <si>
    <t>Penile operation NEC</t>
  </si>
  <si>
    <t>Male genital op NEC</t>
  </si>
  <si>
    <t>Laparoscopic oophorotomy</t>
  </si>
  <si>
    <t>Other oophorotomy</t>
  </si>
  <si>
    <t>Ovarian wedge resection</t>
  </si>
  <si>
    <t>Lap wedge resect ovary</t>
  </si>
  <si>
    <t>Oth lap loc exc dest ova</t>
  </si>
  <si>
    <t>Local destr ova les NEC</t>
  </si>
  <si>
    <t>Lap unilat oophorectomy</t>
  </si>
  <si>
    <t>Oth unilat oophorectomy</t>
  </si>
  <si>
    <t>Lap uni salpingo-oophor</t>
  </si>
  <si>
    <t>Oth uni salpingo-oophor</t>
  </si>
  <si>
    <t>Oth remove both ovaries</t>
  </si>
  <si>
    <t>Oth remove remain ovary</t>
  </si>
  <si>
    <t>Lap remove both ovaries</t>
  </si>
  <si>
    <t>Lap remove remain ovary</t>
  </si>
  <si>
    <t>Oth remove ovaries&amp;tubes</t>
  </si>
  <si>
    <t>Oth remove rem ova&amp;tube</t>
  </si>
  <si>
    <t>Lap remove ovaries&amp;tubes</t>
  </si>
  <si>
    <t>Lap remove rem ova&amp;tube</t>
  </si>
  <si>
    <t>Oth simple suture ovary</t>
  </si>
  <si>
    <t>Oth reimplant of ovary</t>
  </si>
  <si>
    <t>Oth salpingo-oophoroplas</t>
  </si>
  <si>
    <t>Lap simple suture ovary</t>
  </si>
  <si>
    <t>Lap reimplant of ovary</t>
  </si>
  <si>
    <t>Lap salpingo-oophoroplas</t>
  </si>
  <si>
    <t>Repair of ovary NEC</t>
  </si>
  <si>
    <t>Lap adhesiolys ova/tube</t>
  </si>
  <si>
    <t>Adhesiolysis ovary/tube</t>
  </si>
  <si>
    <t>Aspiration of ovary</t>
  </si>
  <si>
    <t>Transplantation of ovary</t>
  </si>
  <si>
    <t>Ovarian torsion release</t>
  </si>
  <si>
    <t>Ovarian operation NEC</t>
  </si>
  <si>
    <t>Salpingotomy</t>
  </si>
  <si>
    <t>Salpingostomy</t>
  </si>
  <si>
    <t>Laparoscopy Salpingotomy</t>
  </si>
  <si>
    <t>Laparoscopy Salpingostomy</t>
  </si>
  <si>
    <t>Total unilat salpingect</t>
  </si>
  <si>
    <t>Laparoscopy, total unilateral salpingectomy</t>
  </si>
  <si>
    <t>Laparoscopy, removal of both fallopian tubes at same operative episode</t>
  </si>
  <si>
    <t>Remove both fallop tubes</t>
  </si>
  <si>
    <t>Remove solitary fal tube</t>
  </si>
  <si>
    <t>Laparoscopy, salpingectomy with removal of tubal pregnancy</t>
  </si>
  <si>
    <t>Destroy fallop tube les</t>
  </si>
  <si>
    <t>Bilat part salpingec NOS</t>
  </si>
  <si>
    <t>Laparoscopy, other partial salpingectomy</t>
  </si>
  <si>
    <t>Partial salpingectom NEC</t>
  </si>
  <si>
    <t>Simpl suture fallop tube</t>
  </si>
  <si>
    <t>Salpingo-oophorostomy</t>
  </si>
  <si>
    <t>Salpingo-salpingostomy</t>
  </si>
  <si>
    <t>Salpingo-uterostomy</t>
  </si>
  <si>
    <t>Fallop tube repair NEC</t>
  </si>
  <si>
    <t>Unilat fallop tube destr</t>
  </si>
  <si>
    <t>Impl fallop tube prosth</t>
  </si>
  <si>
    <t>Remov fallop tube prosth</t>
  </si>
  <si>
    <t>Fallopian tube dilation</t>
  </si>
  <si>
    <t>Bury fimbriae in uterus</t>
  </si>
  <si>
    <t>Fallopian tube op NEC</t>
  </si>
  <si>
    <t>Conization of cervix</t>
  </si>
  <si>
    <t>Cervical les cauterizat</t>
  </si>
  <si>
    <t>Cervical les cryotherapy</t>
  </si>
  <si>
    <t>Cervical les destruc NEC</t>
  </si>
  <si>
    <t>Amputation of cervix</t>
  </si>
  <si>
    <t>Suture cervical lacerat</t>
  </si>
  <si>
    <t>Cervical fistula repair</t>
  </si>
  <si>
    <t>Cervical repair NEC</t>
  </si>
  <si>
    <t>Hysterotomy</t>
  </si>
  <si>
    <t>Uterine les destruct NEC</t>
  </si>
  <si>
    <t>Lap scervic hysterectomy</t>
  </si>
  <si>
    <t>Subtotl abd hyst NEC/NOS</t>
  </si>
  <si>
    <t>Pelvic evisceration</t>
  </si>
  <si>
    <t>Hysterectomy NEC/NOS</t>
  </si>
  <si>
    <t>Destruc uter support NEC</t>
  </si>
  <si>
    <t>Interposit op uterin lig</t>
  </si>
  <si>
    <t>Uterine suspension NEC</t>
  </si>
  <si>
    <t>Uterus/adnexa repair NEC</t>
  </si>
  <si>
    <t>Laparoscopic reconstructive surgery of uterus</t>
  </si>
  <si>
    <t>Suture uterine lacerat</t>
  </si>
  <si>
    <t>Closure uterine fistula</t>
  </si>
  <si>
    <t>Uterine repair NEC</t>
  </si>
  <si>
    <t>Incision of cervix</t>
  </si>
  <si>
    <t>Remove penetrat cerv FB</t>
  </si>
  <si>
    <t>Uterine support op NEC</t>
  </si>
  <si>
    <t>Uterine operation NEC</t>
  </si>
  <si>
    <t>Culdotomy</t>
  </si>
  <si>
    <t>Intralum vag adhesiolys</t>
  </si>
  <si>
    <t>Vaginotomy NEC</t>
  </si>
  <si>
    <t>Excis cul-de-sac lesion</t>
  </si>
  <si>
    <t>Excision vaginal lesion</t>
  </si>
  <si>
    <t>Vaginal obliteration</t>
  </si>
  <si>
    <t>Vaginal construction</t>
  </si>
  <si>
    <t>Vaginal reconstruction</t>
  </si>
  <si>
    <t>Vaginal const w grf/pros</t>
  </si>
  <si>
    <t>Vag reconst w grft/pros</t>
  </si>
  <si>
    <t>Laparoscopic reconstructive surgery of pelvic floor</t>
  </si>
  <si>
    <t>Suture vagina laceration</t>
  </si>
  <si>
    <t>Repair colovagin fistula</t>
  </si>
  <si>
    <t>Repair rectovag fistula</t>
  </si>
  <si>
    <t>Rep vaginoent fistul NEC</t>
  </si>
  <si>
    <t>Repair vag fistula NEC</t>
  </si>
  <si>
    <t>Vaginal suspens &amp; fixat</t>
  </si>
  <si>
    <t>Vag susp/fix w grft/pros</t>
  </si>
  <si>
    <t>Vaginal repair NEC</t>
  </si>
  <si>
    <t>Vaginal vault obliterat</t>
  </si>
  <si>
    <t>Vaginal operation NEC</t>
  </si>
  <si>
    <t>Cul-de-sac operation NEC</t>
  </si>
  <si>
    <t>Cul-de-sac grf/pros NEC</t>
  </si>
  <si>
    <t>Vulvar adhesiolysis</t>
  </si>
  <si>
    <t>Incis vulva/perineum NEC</t>
  </si>
  <si>
    <t>Local vulvar excis NEC</t>
  </si>
  <si>
    <t>Radical vulvectomy</t>
  </si>
  <si>
    <t>Unilateral vulvectomy</t>
  </si>
  <si>
    <t>Bilateral vulvectomy</t>
  </si>
  <si>
    <t>Suture vulvar laceration</t>
  </si>
  <si>
    <t>Repair vulvar fistula</t>
  </si>
  <si>
    <t>Vulvar/perin repair NEC</t>
  </si>
  <si>
    <t>Other vulvar operations</t>
  </si>
  <si>
    <t>Other female genital ops</t>
  </si>
  <si>
    <t>Intraoper cholangiogram</t>
  </si>
  <si>
    <t>Retrograde pyelogram</t>
  </si>
  <si>
    <t>E</t>
  </si>
  <si>
    <t>Spinal</t>
  </si>
  <si>
    <t>Removal FB spinal canal</t>
  </si>
  <si>
    <t>Reopen laminectomy site</t>
  </si>
  <si>
    <t>Spinal canal explor NEC</t>
  </si>
  <si>
    <t>Vertebral fx repair</t>
  </si>
  <si>
    <t>Spinal struct repair NEC</t>
  </si>
  <si>
    <t>Subarach-periton shunt</t>
  </si>
  <si>
    <t>Subarach-ureteral shunt</t>
  </si>
  <si>
    <t>Oth spinal thecal shunt</t>
  </si>
  <si>
    <t>Revise spine theca shunt</t>
  </si>
  <si>
    <t>Remove spine theca shunt</t>
  </si>
  <si>
    <t>Exc/dest intvrt disc NOS</t>
  </si>
  <si>
    <t>Excision intervert disc</t>
  </si>
  <si>
    <t>Microdiscectomy (endoscopic/microscopic) (IM)</t>
  </si>
  <si>
    <t>Microdissectomy (Endoscopic/Microscopic)</t>
  </si>
  <si>
    <t>Oth exc/dest intvrt disc</t>
  </si>
  <si>
    <t>Spinal fusion NOS</t>
  </si>
  <si>
    <t>Atlas-axis fusion</t>
  </si>
  <si>
    <t>Oth cerv fusion ant/ant</t>
  </si>
  <si>
    <t>Ot cerv fusion post/post</t>
  </si>
  <si>
    <t>Drsl/drslumb fus ant/ant</t>
  </si>
  <si>
    <t>Drsl/dslmb fus post/post</t>
  </si>
  <si>
    <t>Lumb/lmbosac fus ant/ant</t>
  </si>
  <si>
    <t>Lmb/lmbsac fus post/post</t>
  </si>
  <si>
    <t>Lumb/lmbsac fus ant/post</t>
  </si>
  <si>
    <t>Spinal refusion NOS</t>
  </si>
  <si>
    <t>Refusion of atlas-axis</t>
  </si>
  <si>
    <t>Refus oth cervcl ant/ant</t>
  </si>
  <si>
    <t>Refus oth cerv post/post</t>
  </si>
  <si>
    <t>Refus drs/drslmb ant/ant</t>
  </si>
  <si>
    <t>Refus drs/drslmb pst/pst</t>
  </si>
  <si>
    <t>Refus lmb/lmbsac ant/ant</t>
  </si>
  <si>
    <t>Refus lmb/lmbsac pst/pst</t>
  </si>
  <si>
    <t>Refus lmb/lmbsc ant/post</t>
  </si>
  <si>
    <t>Refusion of spine NEC</t>
  </si>
  <si>
    <t>Ins/repl interspine dev</t>
  </si>
  <si>
    <t>F</t>
  </si>
  <si>
    <t>Upper Limb</t>
  </si>
  <si>
    <t>Arm vessel resect/anast</t>
  </si>
  <si>
    <t>Arm ves resect w replace</t>
  </si>
  <si>
    <t>Arm vessel excision</t>
  </si>
  <si>
    <t>Occlude arm vessel NEC</t>
  </si>
  <si>
    <t>Humerus wedge osteotomy</t>
  </si>
  <si>
    <t>Radius/ulna wedg osteoto</t>
  </si>
  <si>
    <t>Metacar/car wedg osteoto</t>
  </si>
  <si>
    <t>Humerus division NEC</t>
  </si>
  <si>
    <t>Radius/ulna division NEC</t>
  </si>
  <si>
    <t>Metacar/car division NEC</t>
  </si>
  <si>
    <t>Excise humerus for graft</t>
  </si>
  <si>
    <t>Excis radius/ulna-graft</t>
  </si>
  <si>
    <t>Excis metacar/car-graft</t>
  </si>
  <si>
    <t>Partial humerectomy NEC</t>
  </si>
  <si>
    <t>Part ostect-radius/ulna</t>
  </si>
  <si>
    <t>Part ostect-metacar/car</t>
  </si>
  <si>
    <t>Total ostectomy-humerus</t>
  </si>
  <si>
    <t>Tot ostect-radius/ulna</t>
  </si>
  <si>
    <t>Tot ostect-metacarp/carp</t>
  </si>
  <si>
    <t>Bone graft to humerus</t>
  </si>
  <si>
    <t>Bone graft-radius/ulna</t>
  </si>
  <si>
    <t>Bone grft to metacar/car</t>
  </si>
  <si>
    <t>Appl ext fix-radius/ulna</t>
  </si>
  <si>
    <t>Appl ext fix-metacar/car</t>
  </si>
  <si>
    <t>Oth humerus repair/plast</t>
  </si>
  <si>
    <t>Oth rad/uln repair/plast</t>
  </si>
  <si>
    <t>Oth metac/carp rep/plast</t>
  </si>
  <si>
    <t>Int fixation-humerus</t>
  </si>
  <si>
    <t>Int fixation-radius/ulna</t>
  </si>
  <si>
    <t>Int fixation-metacar/car</t>
  </si>
  <si>
    <t>Remove impl dev-humerus</t>
  </si>
  <si>
    <t>Remov imp dev-radius/uln</t>
  </si>
  <si>
    <t>Remov imp dev-metac/carp</t>
  </si>
  <si>
    <t>Insert bone stim-humerus</t>
  </si>
  <si>
    <t>Inser bone stim-rad/ulna</t>
  </si>
  <si>
    <t>Inser bone stim-meta/car</t>
  </si>
  <si>
    <t>Clos red-int fix humerus</t>
  </si>
  <si>
    <t>Cl red-int fix rad/ulna</t>
  </si>
  <si>
    <t>Cl red-int fix metac/car</t>
  </si>
  <si>
    <t>Close red-int fix finger</t>
  </si>
  <si>
    <t>Open reduc-humerus fx</t>
  </si>
  <si>
    <t>Open reduc-radius/uln fx</t>
  </si>
  <si>
    <t>Open reduc-metac/car fx</t>
  </si>
  <si>
    <t>Open reduction-finger fx</t>
  </si>
  <si>
    <t>Open red-int fix humerus</t>
  </si>
  <si>
    <t>Op red-int fix rad/ulna</t>
  </si>
  <si>
    <t>Op red-int fix metac/car</t>
  </si>
  <si>
    <t>Open red-int fix finger</t>
  </si>
  <si>
    <t>Close red-humerus epiphy</t>
  </si>
  <si>
    <t>Cls red-radius/ul epiphy</t>
  </si>
  <si>
    <t>Opn red-sep epiphy-humer</t>
  </si>
  <si>
    <t>Op red-radius/uln epiphy</t>
  </si>
  <si>
    <t>Opn red-sep epiphy-femur</t>
  </si>
  <si>
    <t>Op red-tibia/fib epiphys</t>
  </si>
  <si>
    <t>Debrid open fx-humerus</t>
  </si>
  <si>
    <t>Debrid open fx-radius/uln</t>
  </si>
  <si>
    <t>Debrid opn fx-metac/car</t>
  </si>
  <si>
    <t>Debrid opn fx-finger</t>
  </si>
  <si>
    <t>Opn reduc disloc-shouldr</t>
  </si>
  <si>
    <t>Open reduc-elbow disloc</t>
  </si>
  <si>
    <t>Open reduc-wrist disloc</t>
  </si>
  <si>
    <t>Opn reduc disloc-hand</t>
  </si>
  <si>
    <t>Humerus injury op NOS</t>
  </si>
  <si>
    <t>Radius/ulna inj op NOS</t>
  </si>
  <si>
    <t>Metacarp/carp inj op NOS</t>
  </si>
  <si>
    <t>Finger injury op NOS</t>
  </si>
  <si>
    <t>Oth arthrotomy-shoulder</t>
  </si>
  <si>
    <t>Oth arthrotomy-elbow</t>
  </si>
  <si>
    <t>Oth arthrotomy-wrist</t>
  </si>
  <si>
    <t>Oth arthrotomy-hand/fngr</t>
  </si>
  <si>
    <t>Shoulder arthroscopy</t>
  </si>
  <si>
    <t>Elbow arthroscopy</t>
  </si>
  <si>
    <t>Wrist arthroscopy</t>
  </si>
  <si>
    <t>Hand &amp; finger arthroscop</t>
  </si>
  <si>
    <t>Shoulder synovectomy</t>
  </si>
  <si>
    <t>Elbow synovectomy</t>
  </si>
  <si>
    <t>Wrist synovectomy</t>
  </si>
  <si>
    <t>Hand synovectomy</t>
  </si>
  <si>
    <t>Destruc-shoulder les NEC</t>
  </si>
  <si>
    <t>Destruc-elbow lesion NEC</t>
  </si>
  <si>
    <t>Destruc-wrist lesion NEC</t>
  </si>
  <si>
    <t>Destruc-hand jt les NEC</t>
  </si>
  <si>
    <t>Excision of shoulder NEC</t>
  </si>
  <si>
    <t>Excision of elbow NEC</t>
  </si>
  <si>
    <t>Excision of wrist NEC</t>
  </si>
  <si>
    <t>Excision hand joint NEC</t>
  </si>
  <si>
    <t>Arthrodesis of shoulder</t>
  </si>
  <si>
    <t>Arthrodesis of elbow</t>
  </si>
  <si>
    <t>Carporadial fusion</t>
  </si>
  <si>
    <t>Metacarpocarpal fusion</t>
  </si>
  <si>
    <t>Metacarpophalangeal fus</t>
  </si>
  <si>
    <t>Interphalangeal fusion</t>
  </si>
  <si>
    <t>Arthroplas metacarp wit</t>
  </si>
  <si>
    <t>Arthroplasty metacar w/o</t>
  </si>
  <si>
    <t>Total wrist replacement</t>
  </si>
  <si>
    <t>Arthroplasty carpal wit</t>
  </si>
  <si>
    <t>Arthroplasty carpal w/o</t>
  </si>
  <si>
    <t>Oth repair han/fin/wris</t>
  </si>
  <si>
    <t>Oth totl shouldr replace</t>
  </si>
  <si>
    <t>Partial shoulder replace</t>
  </si>
  <si>
    <t>Shoulder arthroplast NEC</t>
  </si>
  <si>
    <t>Total elbow replacement</t>
  </si>
  <si>
    <t>Elbow arthroplasty NEC</t>
  </si>
  <si>
    <t>Reverse total shoulder replacement</t>
  </si>
  <si>
    <t>Sutur capsul/ligamen arm</t>
  </si>
  <si>
    <t>Rev jt repl upper extrem</t>
  </si>
  <si>
    <t>Explor tend sheath-hand</t>
  </si>
  <si>
    <t>Myotomy of hand</t>
  </si>
  <si>
    <t>Bursotomy of hand</t>
  </si>
  <si>
    <t>Inc soft tissue hand NEC</t>
  </si>
  <si>
    <t>Tenotomy of hand</t>
  </si>
  <si>
    <t>Fasciotomy of hand</t>
  </si>
  <si>
    <t>Div soft tissue hand NEC</t>
  </si>
  <si>
    <t>Exc les tend sheath hand</t>
  </si>
  <si>
    <t>Excision hand muscle les</t>
  </si>
  <si>
    <t>Exc les sft tiss hnd NEC</t>
  </si>
  <si>
    <t>Bursectomy of hand</t>
  </si>
  <si>
    <t>Excis hand tend for grft</t>
  </si>
  <si>
    <t>Hand tenonectomy NEC</t>
  </si>
  <si>
    <t>Exc hnd mus/fas for grft</t>
  </si>
  <si>
    <t>Hand fasciectomy NEC</t>
  </si>
  <si>
    <t>Other myectomy of hand</t>
  </si>
  <si>
    <t>Hand soft tissue exc NEC</t>
  </si>
  <si>
    <t>Suture tendn sheath hand</t>
  </si>
  <si>
    <t>Delay sut flex tend hand</t>
  </si>
  <si>
    <t>Delay sut hand tend NEC</t>
  </si>
  <si>
    <t>Sutur flex tend hand NEC</t>
  </si>
  <si>
    <t>Suture hand tendon NEC</t>
  </si>
  <si>
    <t>Suture hand muscle/fasc</t>
  </si>
  <si>
    <t>Hand tendon advancement</t>
  </si>
  <si>
    <t>Hand tendon recession</t>
  </si>
  <si>
    <t>Hand tendon reattachment</t>
  </si>
  <si>
    <t>Hand muscle reattachment</t>
  </si>
  <si>
    <t>Chng hnd mus/ten lng NEC</t>
  </si>
  <si>
    <t>Transplant hand tend NEC</t>
  </si>
  <si>
    <t>Transposit hand tend NEC</t>
  </si>
  <si>
    <t>Transplant hand musc NEC</t>
  </si>
  <si>
    <t>Transposit hand musc NEC</t>
  </si>
  <si>
    <t>Pollicization operation</t>
  </si>
  <si>
    <t>Thumb reconstruction NEC</t>
  </si>
  <si>
    <t>Hand tend pulley reconst</t>
  </si>
  <si>
    <t>Plast op hnd-mus/fas grf</t>
  </si>
  <si>
    <t>Plast op hand w grft NEC</t>
  </si>
  <si>
    <t>Transfer of finger</t>
  </si>
  <si>
    <t>Other tenodesis of hand</t>
  </si>
  <si>
    <t>Other tenoplasty of hand</t>
  </si>
  <si>
    <t>Hand plastic op NEC</t>
  </si>
  <si>
    <t>Lysis of hand adhesions</t>
  </si>
  <si>
    <t>Hand mus/ten/fas/ops NEC</t>
  </si>
  <si>
    <t>Rotator cuff repair</t>
  </si>
  <si>
    <t>Upper limb amputat NOS</t>
  </si>
  <si>
    <t>Finger amputation</t>
  </si>
  <si>
    <t>Thumb amputation</t>
  </si>
  <si>
    <t>Amputation through hand</t>
  </si>
  <si>
    <t>Disarticulation of wrist</t>
  </si>
  <si>
    <t>Amputation thru forearm</t>
  </si>
  <si>
    <t>Disarticulation of elbow</t>
  </si>
  <si>
    <t>Amputation thru humerus</t>
  </si>
  <si>
    <t>Shoulder disarticulation</t>
  </si>
  <si>
    <t>Forequarter amputation</t>
  </si>
  <si>
    <t>Thumb reattachment</t>
  </si>
  <si>
    <t>Finger reattachment</t>
  </si>
  <si>
    <t>Forearm/wrist/hand reatt</t>
  </si>
  <si>
    <t>Upper arm reattachment</t>
  </si>
  <si>
    <t>Implant arm prosthesis</t>
  </si>
  <si>
    <t>G</t>
  </si>
  <si>
    <t>Lower Limb</t>
  </si>
  <si>
    <t>Leg artery resect/anast</t>
  </si>
  <si>
    <t>Leg vein resect/anastom</t>
  </si>
  <si>
    <t>Leg artery resec w repla</t>
  </si>
  <si>
    <t>Leg vein resect w replac</t>
  </si>
  <si>
    <t>Leg artery excision</t>
  </si>
  <si>
    <t>Leg vein excision</t>
  </si>
  <si>
    <t>Occlude leg artery NEC</t>
  </si>
  <si>
    <t>Occlude leg vein NEC</t>
  </si>
  <si>
    <t>Femoral wedge osteotomy</t>
  </si>
  <si>
    <t>Patellar wedge osteotomy</t>
  </si>
  <si>
    <t>Tibia/fibul wedg osteot</t>
  </si>
  <si>
    <t>Metatar/tar wedg osteot</t>
  </si>
  <si>
    <t>Femoral division NEC</t>
  </si>
  <si>
    <t>Patellar division NEC</t>
  </si>
  <si>
    <t>Tibia/fibula div NEC</t>
  </si>
  <si>
    <t>Metatar/tar division NEC</t>
  </si>
  <si>
    <t>Excise femur for graft</t>
  </si>
  <si>
    <t>Excise patella for graft</t>
  </si>
  <si>
    <t>Excise tib/fib for graft</t>
  </si>
  <si>
    <t>Excis metatar/tar-graft</t>
  </si>
  <si>
    <t>Part ostectomy-femur</t>
  </si>
  <si>
    <t>Partial patellectomy</t>
  </si>
  <si>
    <t>Part ostect-tibia/fibula</t>
  </si>
  <si>
    <t>Part ostect-metatar/tar</t>
  </si>
  <si>
    <t>Tot ostectomy-femur</t>
  </si>
  <si>
    <t>Total patellectomy</t>
  </si>
  <si>
    <t>Tot ostect-tibia/fibula</t>
  </si>
  <si>
    <t>Tot ostect-metatars/tars</t>
  </si>
  <si>
    <t>Bone graft to femur</t>
  </si>
  <si>
    <t>Bone graft to patella</t>
  </si>
  <si>
    <t>Bone graft-tibia/fibula</t>
  </si>
  <si>
    <t>Bone graft- metatar/tar</t>
  </si>
  <si>
    <t>Applic ext fix-humerus</t>
  </si>
  <si>
    <t>Applic ext fix dev-femur</t>
  </si>
  <si>
    <t>Appl ext fix dev-patella</t>
  </si>
  <si>
    <t>Appl ext fix-tib/fibula</t>
  </si>
  <si>
    <t>Appl ext fix-metatar/tar</t>
  </si>
  <si>
    <t>Oth femur repair/plastic</t>
  </si>
  <si>
    <t>Oth patella repair/plast</t>
  </si>
  <si>
    <t>Oth tib/fib repair/plast</t>
  </si>
  <si>
    <t>Oth meta/tar repa/plast</t>
  </si>
  <si>
    <t>Internal fixation-femur</t>
  </si>
  <si>
    <t>Internal fix-patella</t>
  </si>
  <si>
    <t>Int fixation-tibia/fibul</t>
  </si>
  <si>
    <t>Int fixation-metatar/tar</t>
  </si>
  <si>
    <t>Remove imp device-femur</t>
  </si>
  <si>
    <t>Remov imp device-patella</t>
  </si>
  <si>
    <t>Remov imp dev-tib/fibula</t>
  </si>
  <si>
    <t>Remove imp dev-metat/tar</t>
  </si>
  <si>
    <t>Insert bone stim-femur</t>
  </si>
  <si>
    <t>Insert bone stim-patella</t>
  </si>
  <si>
    <t>Inser bone stim-tib/fib</t>
  </si>
  <si>
    <t>Inser bone stim-meta/tar</t>
  </si>
  <si>
    <t>Closed red-int fix femur</t>
  </si>
  <si>
    <t>Cl red-int fix tib/fibu</t>
  </si>
  <si>
    <t>Cl red-int fix metat/tar</t>
  </si>
  <si>
    <t>Close red-int fix toe fx</t>
  </si>
  <si>
    <t>Open reduction-femur fx</t>
  </si>
  <si>
    <t>Open reduc-tibia/fib fx</t>
  </si>
  <si>
    <t>Open reduc-metat/tars fx</t>
  </si>
  <si>
    <t>Open reduction-toe fx</t>
  </si>
  <si>
    <t>Open reduc-int fix femur</t>
  </si>
  <si>
    <t>Op red-int fix tib/fibul</t>
  </si>
  <si>
    <t>Op red-int fix metat/tar</t>
  </si>
  <si>
    <t>Open reduct-int fix toe</t>
  </si>
  <si>
    <t>Close reduc-femur epiphy</t>
  </si>
  <si>
    <t>Cls red-tibia/fib epiphy</t>
  </si>
  <si>
    <t>Debrid opn fx-femur</t>
  </si>
  <si>
    <t>Debrid opn fx-tibia/fib</t>
  </si>
  <si>
    <t>Debrid opn fx-metat/tar</t>
  </si>
  <si>
    <t>Debrid opn fx-toe</t>
  </si>
  <si>
    <t>Open reduc-hip dislocat</t>
  </si>
  <si>
    <t>Open reduc-knee dislocat</t>
  </si>
  <si>
    <t>Open reduc-ankle disloc</t>
  </si>
  <si>
    <t>Opn reduc disloc-ft/toe</t>
  </si>
  <si>
    <t>Femur injury op NOS</t>
  </si>
  <si>
    <t>Tibia/fibula inj op NOS</t>
  </si>
  <si>
    <t>Metatars/tars inj op NOS</t>
  </si>
  <si>
    <t>Toe injury operation NOS</t>
  </si>
  <si>
    <t>Oth arthrotomy-hip</t>
  </si>
  <si>
    <t>Oth arthrotomy-knee</t>
  </si>
  <si>
    <t>Oth arthrotomy-ankle</t>
  </si>
  <si>
    <t>Oth arthrotomy-foot/toe</t>
  </si>
  <si>
    <t>Hip arthroscopy</t>
  </si>
  <si>
    <t>Knee arthroscopy</t>
  </si>
  <si>
    <t>Ankle arthroscopy</t>
  </si>
  <si>
    <t>Foot &amp; toe arthroscopy</t>
  </si>
  <si>
    <t>Excis knee semilun cartl</t>
  </si>
  <si>
    <t>Hip synovectomy</t>
  </si>
  <si>
    <t>Knee synovectomy</t>
  </si>
  <si>
    <t>Ankle synovectomy</t>
  </si>
  <si>
    <t>Foot synovectomy</t>
  </si>
  <si>
    <t>Destruct-hip lesion NEC</t>
  </si>
  <si>
    <t>Destruct-knee lesion NEC</t>
  </si>
  <si>
    <t>Destruc-ankle lesion NEC</t>
  </si>
  <si>
    <t>Destruc-foot jt les NEC</t>
  </si>
  <si>
    <t>Excision of hip NEC</t>
  </si>
  <si>
    <t>Excision of knee NEC</t>
  </si>
  <si>
    <t>Excision of ankle NEC</t>
  </si>
  <si>
    <t>Excision foot joint NEC</t>
  </si>
  <si>
    <t>Ankle fusion</t>
  </si>
  <si>
    <t>Triple arthrodesis</t>
  </si>
  <si>
    <t>Subtalar fusion</t>
  </si>
  <si>
    <t>Midtarsal fusion</t>
  </si>
  <si>
    <t>Tarsometatarsal fusion</t>
  </si>
  <si>
    <t>Metatarsophalangeal fus</t>
  </si>
  <si>
    <t>Other fusion of foot</t>
  </si>
  <si>
    <t>SUBTALR JT ARTHROEREISIS</t>
  </si>
  <si>
    <t>Arthrodesis of hip</t>
  </si>
  <si>
    <t>Arthrodesis of knee</t>
  </si>
  <si>
    <t>Repair of hip, NEC</t>
  </si>
  <si>
    <t>Five-in-one knee repair</t>
  </si>
  <si>
    <t>Triad knee repair</t>
  </si>
  <si>
    <t>Patellar stabilization</t>
  </si>
  <si>
    <t>Cruciate lig repair NEC</t>
  </si>
  <si>
    <t>Collaterl lig repair NEC</t>
  </si>
  <si>
    <t>Other repair of knee</t>
  </si>
  <si>
    <t>Other repair of ankle</t>
  </si>
  <si>
    <t>Total hip replacement</t>
  </si>
  <si>
    <t>Partial hip replacement</t>
  </si>
  <si>
    <t>Revise hip replacemt NOS</t>
  </si>
  <si>
    <t>Total knee replacement</t>
  </si>
  <si>
    <t>Revise knee replace NOS</t>
  </si>
  <si>
    <t>Total ankle replacement</t>
  </si>
  <si>
    <t>Repl joint of foot, toe</t>
  </si>
  <si>
    <t>Rev jt repl low ext NEC</t>
  </si>
  <si>
    <t>Suture capsul/lig ank/ft</t>
  </si>
  <si>
    <t>Sutur capsul/lig leg NEC</t>
  </si>
  <si>
    <t>Achillotenotomy</t>
  </si>
  <si>
    <t>Adductor tenotomy of hip</t>
  </si>
  <si>
    <t>Quadricepsplasty</t>
  </si>
  <si>
    <t>Lower limb amputat NOS</t>
  </si>
  <si>
    <t>Toe amputation</t>
  </si>
  <si>
    <t>Amputation through foot</t>
  </si>
  <si>
    <t>Disarticulation of ankle</t>
  </si>
  <si>
    <t>Amputat through malleoli</t>
  </si>
  <si>
    <t>Below knee amputat NEC</t>
  </si>
  <si>
    <t>Disarticulation of knee</t>
  </si>
  <si>
    <t>Above knee amputation</t>
  </si>
  <si>
    <t>Disarticulation of hip</t>
  </si>
  <si>
    <t>Hindquarter amputation</t>
  </si>
  <si>
    <t>Toe reattachment</t>
  </si>
  <si>
    <t>Foot reattachment</t>
  </si>
  <si>
    <t>Lower leg/ankle reattach</t>
  </si>
  <si>
    <t>Thigh reattachment</t>
  </si>
  <si>
    <t>Implant leg prosthesis</t>
  </si>
  <si>
    <t>H</t>
  </si>
  <si>
    <t>Skin</t>
  </si>
  <si>
    <t>Full-thick grft to mouth</t>
  </si>
  <si>
    <t>Skin graft to mouth NEC</t>
  </si>
  <si>
    <t>Pedicle attach to mouth</t>
  </si>
  <si>
    <t>Breast split-thick graft</t>
  </si>
  <si>
    <t>Breast full-thick graft</t>
  </si>
  <si>
    <t>Breast pedicle graft</t>
  </si>
  <si>
    <t>Breast muscle flap graft</t>
  </si>
  <si>
    <t>Exc wound debridement</t>
  </si>
  <si>
    <t>Free skin graft NOS</t>
  </si>
  <si>
    <t>Full-thick hand skin grf</t>
  </si>
  <si>
    <t>Hand skin graft NEC</t>
  </si>
  <si>
    <t>Full-thick skin grft NEC</t>
  </si>
  <si>
    <t>Full thickness skin graft of genitals</t>
  </si>
  <si>
    <t>Small split skin graft of genitals</t>
  </si>
  <si>
    <t>Heterograft to skin</t>
  </si>
  <si>
    <t>Homograft to skin</t>
  </si>
  <si>
    <t>Dermal regener graft</t>
  </si>
  <si>
    <t>Free skin graft NEC</t>
  </si>
  <si>
    <t>Pedicle graft/flap NOS</t>
  </si>
  <si>
    <t>Cut &amp; prep pedicle graft</t>
  </si>
  <si>
    <t>Tongue flap</t>
  </si>
  <si>
    <t>Pedicle graft advancemen</t>
  </si>
  <si>
    <t>Attach pedicle to hand</t>
  </si>
  <si>
    <t>Attach pedicle graft NEC</t>
  </si>
  <si>
    <t>Cross leg flap</t>
  </si>
  <si>
    <t>Deltopectoral flap</t>
  </si>
  <si>
    <t>Omental flap</t>
  </si>
  <si>
    <t>Simple &amp; small local skin flap, genitals</t>
  </si>
  <si>
    <t>Revision of pedicle grft</t>
  </si>
  <si>
    <t>Skin repair &amp; plasty NEC</t>
  </si>
  <si>
    <t>Skin excision for graft</t>
  </si>
  <si>
    <t>Insert tissue expander</t>
  </si>
  <si>
    <t>J</t>
  </si>
  <si>
    <t>Other Sites</t>
  </si>
  <si>
    <t>Peripheral nerve suture</t>
  </si>
  <si>
    <t>Peripheral nerve graft</t>
  </si>
  <si>
    <t>Periph nerve transposit</t>
  </si>
  <si>
    <t>Periph nerv anastom NEC</t>
  </si>
  <si>
    <t>Postop revis per nerv op</t>
  </si>
  <si>
    <t>Late repair per nerv inj</t>
  </si>
  <si>
    <t>Other neuroplasty</t>
  </si>
  <si>
    <t>Sympathetic nerve repair</t>
  </si>
  <si>
    <t>Reopen thyroid field wnd</t>
  </si>
  <si>
    <t>Thyroid vessel ligation</t>
  </si>
  <si>
    <t>Thyroid suture</t>
  </si>
  <si>
    <t>Thyroid reimplantation</t>
  </si>
  <si>
    <t>Parathyroid reimplant</t>
  </si>
  <si>
    <t>Blepharorrhaphy</t>
  </si>
  <si>
    <t>Adjust lid position NEC</t>
  </si>
  <si>
    <t>Lid reconst w skin graft</t>
  </si>
  <si>
    <t>Lid reconst w muc graft</t>
  </si>
  <si>
    <t>Lid reconst w hair graft</t>
  </si>
  <si>
    <t>Lid recon-tarsoconj flap</t>
  </si>
  <si>
    <t>Lid reconstr w graft NEC</t>
  </si>
  <si>
    <t>Lid reconstruction NOS</t>
  </si>
  <si>
    <t>Lid marg recon-part thic</t>
  </si>
  <si>
    <t>Lid recons-part thic NEC</t>
  </si>
  <si>
    <t>Lid marg recons ful thic</t>
  </si>
  <si>
    <t>Lid reconst-ful thic NEC</t>
  </si>
  <si>
    <t>Lin rep lacer eyelid/brow</t>
  </si>
  <si>
    <t>Rep lac inv lid mar par-th</t>
  </si>
  <si>
    <t>Oth rep lid lacer, par-th</t>
  </si>
  <si>
    <t>Rep lac inv lid mar ful-th</t>
  </si>
  <si>
    <t>Oth rep lid lacer, ful-th</t>
  </si>
  <si>
    <t>Other eyelid repair</t>
  </si>
  <si>
    <t>Punctum repair NEC</t>
  </si>
  <si>
    <t>Canaliculus repair</t>
  </si>
  <si>
    <t>Incise/remov conjunct FB</t>
  </si>
  <si>
    <t>Repair conjunct lacerat</t>
  </si>
  <si>
    <t>Magnet removal cornea FB</t>
  </si>
  <si>
    <t>Suture cornea laceration</t>
  </si>
  <si>
    <t>Rep cornea postop dehisc</t>
  </si>
  <si>
    <t>Repair of corneal laceration with other free tissue graft and adhesive (IM)</t>
  </si>
  <si>
    <t>Rx cornea lac w conj flp</t>
  </si>
  <si>
    <t>Repair of corneal laceration with amniotic membrane graft (IM)</t>
  </si>
  <si>
    <t>Corneal repair NEC</t>
  </si>
  <si>
    <t>Remov ant segmnt FB NOS</t>
  </si>
  <si>
    <t>Magnet remov ant seg FB</t>
  </si>
  <si>
    <t>Nonmag remov ant seg FB</t>
  </si>
  <si>
    <t>Suture scleral lacer</t>
  </si>
  <si>
    <t>Scleral fistula repair</t>
  </si>
  <si>
    <t>Revis ant seg op wnd NEC</t>
  </si>
  <si>
    <t>Therapeut evac ant chamb</t>
  </si>
  <si>
    <t>Remove FB lens NOS</t>
  </si>
  <si>
    <t>Magnet remove FB lens</t>
  </si>
  <si>
    <t>Nonmagnet remove FB lens</t>
  </si>
  <si>
    <t>OPERATION ON LENS NEC</t>
  </si>
  <si>
    <t>Remov post segmnt FB NOS</t>
  </si>
  <si>
    <t>Magnet remov post seg FB</t>
  </si>
  <si>
    <t>Nonmag remov post seg FB</t>
  </si>
  <si>
    <t>Retinal tear diathermy</t>
  </si>
  <si>
    <t>Retinal tear cryotherapy</t>
  </si>
  <si>
    <t>Retinal tear xenon coag</t>
  </si>
  <si>
    <t>Retinal tear laser coag</t>
  </si>
  <si>
    <t>Retina tear photocoa NOS</t>
  </si>
  <si>
    <t>Retinal tear repair NEC</t>
  </si>
  <si>
    <t>Remove penetrat FB eye</t>
  </si>
  <si>
    <t>Eye evisc w synch implan</t>
  </si>
  <si>
    <t>Eyeball evisceration NEC</t>
  </si>
  <si>
    <t>Eye enuc/implan/musc att</t>
  </si>
  <si>
    <t>Eye enuc w implant NEC</t>
  </si>
  <si>
    <t>Eyeball enucleation NEC</t>
  </si>
  <si>
    <t>Repair of orbital wound</t>
  </si>
  <si>
    <t>Repair eyeball rupture</t>
  </si>
  <si>
    <t>Eye/orbit inj repair NEC</t>
  </si>
  <si>
    <t>Ext audit canal reconstr</t>
  </si>
  <si>
    <t>Construction ear auricle</t>
  </si>
  <si>
    <t>Reattach amputated ear</t>
  </si>
  <si>
    <t>Plastic rep ext ear NEC</t>
  </si>
  <si>
    <t>Gingivoplasty</t>
  </si>
  <si>
    <t>Alveoloplasty</t>
  </si>
  <si>
    <t>Repair of tongue NEC</t>
  </si>
  <si>
    <t>Suture of saliv glnd lac</t>
  </si>
  <si>
    <t>Salivary fistula closure</t>
  </si>
  <si>
    <t>Salivary repair NEC</t>
  </si>
  <si>
    <t>Drain face &amp; mouth floor</t>
  </si>
  <si>
    <t>Closure of mouth fistula</t>
  </si>
  <si>
    <t>Mouth repair NEC</t>
  </si>
  <si>
    <t>Suture of palate lacerat</t>
  </si>
  <si>
    <t>Oth plastic repair palat</t>
  </si>
  <si>
    <t>Repair of uvula</t>
  </si>
  <si>
    <t>Incis to remov tonsil FB</t>
  </si>
  <si>
    <t>Pharyngotomy</t>
  </si>
  <si>
    <t>Suture of pharyngeal lac</t>
  </si>
  <si>
    <t>Pharyngeal repair NEC</t>
  </si>
  <si>
    <t>Suture of laryngeal lac</t>
  </si>
  <si>
    <t>Laryngeal fx repair</t>
  </si>
  <si>
    <t>Other laryngeal repair</t>
  </si>
  <si>
    <t>Suture of tracheal lacer</t>
  </si>
  <si>
    <t>Suture of tracheal wound or injury; cervical</t>
  </si>
  <si>
    <t>Suture of tracheal wound or injury; intrathoracic</t>
  </si>
  <si>
    <t>Other tracheal repair</t>
  </si>
  <si>
    <t>Suture of vessel NOS</t>
  </si>
  <si>
    <t>Suture of artery</t>
  </si>
  <si>
    <t>Suture of vein</t>
  </si>
  <si>
    <t>Repair vess w tis patch</t>
  </si>
  <si>
    <t>Rep vess w synth patch</t>
  </si>
  <si>
    <t>Repair vess w patch NOS</t>
  </si>
  <si>
    <t>Repair of vessel NEC</t>
  </si>
  <si>
    <t>Direct anastomosis for renal artery repair</t>
  </si>
  <si>
    <t>Direct anastomosis for renal vein repair</t>
  </si>
  <si>
    <t>Hemorrhage control NOS</t>
  </si>
  <si>
    <t>Wedge osteotomy NEC</t>
  </si>
  <si>
    <t>Other bone division NOS</t>
  </si>
  <si>
    <t>Bone division NEC</t>
  </si>
  <si>
    <t>Excise bone for grft NOS</t>
  </si>
  <si>
    <t>Excise bone for gft NEC</t>
  </si>
  <si>
    <t>Oth part ostectomy NOS</t>
  </si>
  <si>
    <t>Partial ostectomy NEC</t>
  </si>
  <si>
    <t>Total ostectomy NOS</t>
  </si>
  <si>
    <t>Total ostectomy NEC</t>
  </si>
  <si>
    <t>Bone graft NOS</t>
  </si>
  <si>
    <t>Bone graft NEC</t>
  </si>
  <si>
    <t>Applic ext fix dev NOS</t>
  </si>
  <si>
    <t>Applic ext fix dev NEC</t>
  </si>
  <si>
    <t>Oth bone repair/plast op</t>
  </si>
  <si>
    <t>Oth bone repa/plast NEC</t>
  </si>
  <si>
    <t>Int fix w/o fx reduc NOS</t>
  </si>
  <si>
    <t>Int fix-no fx reduct NEC</t>
  </si>
  <si>
    <t>Remove imp device NOS</t>
  </si>
  <si>
    <t>Remove impl device NEC</t>
  </si>
  <si>
    <t>Insert bone stimul NOS</t>
  </si>
  <si>
    <t>Insert bone stimul NEC</t>
  </si>
  <si>
    <t>Cl fx reduc-int fix NOS</t>
  </si>
  <si>
    <t>Cl fx reduc-int fix NEC</t>
  </si>
  <si>
    <t>Open fx reduction NOS</t>
  </si>
  <si>
    <t>Open fx reduction NEC</t>
  </si>
  <si>
    <t>Opn fx red w int fix NOS</t>
  </si>
  <si>
    <t>Opn fx red w int fix NEC</t>
  </si>
  <si>
    <t>Cls reduc-sep epiphy NOS</t>
  </si>
  <si>
    <t>Cls reduc-sep epiphy NEC</t>
  </si>
  <si>
    <t>Open red-sep epiphy NOS</t>
  </si>
  <si>
    <t>Open red-sep epiphy NEC</t>
  </si>
  <si>
    <t>Open fx site debride NOS</t>
  </si>
  <si>
    <t>Open fx site debride NEC</t>
  </si>
  <si>
    <t>Open reduc-dislocat NOS</t>
  </si>
  <si>
    <t>Open reduc-dislocat NEC</t>
  </si>
  <si>
    <t>Unspec op bone inj NOS</t>
  </si>
  <si>
    <t>Unspec op-bone inj NEC</t>
  </si>
  <si>
    <t>Other arthrotomy NOS</t>
  </si>
  <si>
    <t>Other arthrotomy NEC</t>
  </si>
  <si>
    <t>Arthroscopy NOS</t>
  </si>
  <si>
    <t>Arthroscopy NEC</t>
  </si>
  <si>
    <t>Synovectomy-site NOS</t>
  </si>
  <si>
    <t>Synovectomy-site NEC</t>
  </si>
  <si>
    <t>Destruct joint les NOS</t>
  </si>
  <si>
    <t>Destruct joint les NEC</t>
  </si>
  <si>
    <t>Excision of joint NOS</t>
  </si>
  <si>
    <t>Excision of joint NEC</t>
  </si>
  <si>
    <t>Arthrodesis NOS</t>
  </si>
  <si>
    <t>Arthrodesis NEC</t>
  </si>
  <si>
    <t>Tendon sheath explorat</t>
  </si>
  <si>
    <t>Myotomy</t>
  </si>
  <si>
    <t>Bursotomy</t>
  </si>
  <si>
    <t>Soft tissue incision NEC</t>
  </si>
  <si>
    <t>Other tenotomy</t>
  </si>
  <si>
    <t>Fasciotomy</t>
  </si>
  <si>
    <t>Escharotomy</t>
  </si>
  <si>
    <t>Soft tissue division NEC</t>
  </si>
  <si>
    <t>Tendon sheath suture</t>
  </si>
  <si>
    <t>Delayed tendon suture</t>
  </si>
  <si>
    <t>Other suture of tendon</t>
  </si>
  <si>
    <t>Other muscle/fasc suture</t>
  </si>
  <si>
    <t>Tendon advancement</t>
  </si>
  <si>
    <t>Tendon recession</t>
  </si>
  <si>
    <t>Tendon reattachment</t>
  </si>
  <si>
    <t>Muscle reattachment</t>
  </si>
  <si>
    <t>Tendon trnsfr/transplant</t>
  </si>
  <si>
    <t>Other tendon transposit</t>
  </si>
  <si>
    <t>Muscle trnsfr/transplant</t>
  </si>
  <si>
    <t>Other muscle transposit</t>
  </si>
  <si>
    <t>Tendon graft</t>
  </si>
  <si>
    <t>Muscle or fascia graft</t>
  </si>
  <si>
    <t>Tendon pulley reconstruc</t>
  </si>
  <si>
    <t>Reattachment NEC</t>
  </si>
  <si>
    <t>Amputation stump revis</t>
  </si>
  <si>
    <t>Rev interspine device</t>
  </si>
  <si>
    <t>Rev pedcl dyn stabil dev</t>
  </si>
  <si>
    <t>Rev facet replace device</t>
  </si>
  <si>
    <t>Amputation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</si>
</sst>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FB20-D008-49C4-BD5B-EDCDB28746DB}">
  <dimension ref="A1:D1431"/>
  <sheetViews>
    <sheetView tabSelected="1" topLeftCell="A381" workbookViewId="0">
      <selection activeCell="D1" sqref="D1:D1048576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 t="s">
        <v>1432</v>
      </c>
      <c r="C2" t="str">
        <f>"S06.10"</f>
        <v>S06.10</v>
      </c>
      <c r="D2" t="s">
        <v>4</v>
      </c>
    </row>
    <row r="3" spans="1:4" x14ac:dyDescent="0.55000000000000004">
      <c r="A3">
        <v>1</v>
      </c>
      <c r="B3" t="s">
        <v>1432</v>
      </c>
      <c r="C3" t="str">
        <f>"S06.11"</f>
        <v>S06.11</v>
      </c>
      <c r="D3" t="s">
        <v>5</v>
      </c>
    </row>
    <row r="4" spans="1:4" x14ac:dyDescent="0.55000000000000004">
      <c r="A4">
        <v>1</v>
      </c>
      <c r="B4" t="s">
        <v>1432</v>
      </c>
      <c r="C4" t="str">
        <f>"S06.2"</f>
        <v>S06.2</v>
      </c>
      <c r="D4" t="s">
        <v>6</v>
      </c>
    </row>
    <row r="5" spans="1:4" x14ac:dyDescent="0.55000000000000004">
      <c r="A5">
        <v>1</v>
      </c>
      <c r="B5" t="s">
        <v>1432</v>
      </c>
      <c r="C5" t="str">
        <f>"S06.20"</f>
        <v>S06.20</v>
      </c>
      <c r="D5" t="s">
        <v>7</v>
      </c>
    </row>
    <row r="6" spans="1:4" x14ac:dyDescent="0.55000000000000004">
      <c r="A6">
        <v>1</v>
      </c>
      <c r="B6" t="s">
        <v>1432</v>
      </c>
      <c r="C6" t="str">
        <f>"S06.21"</f>
        <v>S06.21</v>
      </c>
      <c r="D6" t="s">
        <v>8</v>
      </c>
    </row>
    <row r="7" spans="1:4" x14ac:dyDescent="0.55000000000000004">
      <c r="A7">
        <v>1</v>
      </c>
      <c r="B7" t="s">
        <v>1432</v>
      </c>
      <c r="C7" t="str">
        <f>"S06.3"</f>
        <v>S06.3</v>
      </c>
      <c r="D7" t="s">
        <v>9</v>
      </c>
    </row>
    <row r="8" spans="1:4" x14ac:dyDescent="0.55000000000000004">
      <c r="A8">
        <v>1</v>
      </c>
      <c r="B8" t="s">
        <v>1432</v>
      </c>
      <c r="C8" t="str">
        <f>"S06.30"</f>
        <v>S06.30</v>
      </c>
      <c r="D8" t="s">
        <v>10</v>
      </c>
    </row>
    <row r="9" spans="1:4" x14ac:dyDescent="0.55000000000000004">
      <c r="A9">
        <v>1</v>
      </c>
      <c r="B9" t="s">
        <v>1432</v>
      </c>
      <c r="C9" t="str">
        <f>"S06.31"</f>
        <v>S06.31</v>
      </c>
      <c r="D9" t="s">
        <v>11</v>
      </c>
    </row>
    <row r="10" spans="1:4" x14ac:dyDescent="0.55000000000000004">
      <c r="A10">
        <v>1</v>
      </c>
      <c r="B10" t="s">
        <v>1432</v>
      </c>
      <c r="C10" t="str">
        <f>"S06.4"</f>
        <v>S06.4</v>
      </c>
      <c r="D10" t="s">
        <v>12</v>
      </c>
    </row>
    <row r="11" spans="1:4" x14ac:dyDescent="0.55000000000000004">
      <c r="A11">
        <v>1</v>
      </c>
      <c r="B11" t="s">
        <v>1432</v>
      </c>
      <c r="C11" t="str">
        <f>"S06.40"</f>
        <v>S06.40</v>
      </c>
      <c r="D11" t="s">
        <v>13</v>
      </c>
    </row>
    <row r="12" spans="1:4" x14ac:dyDescent="0.55000000000000004">
      <c r="A12">
        <v>1</v>
      </c>
      <c r="B12" t="s">
        <v>1432</v>
      </c>
      <c r="C12" t="str">
        <f>"S06.41"</f>
        <v>S06.41</v>
      </c>
      <c r="D12" t="s">
        <v>14</v>
      </c>
    </row>
    <row r="13" spans="1:4" x14ac:dyDescent="0.55000000000000004">
      <c r="A13">
        <v>1</v>
      </c>
      <c r="B13" t="s">
        <v>1432</v>
      </c>
      <c r="C13" t="str">
        <f>"S06.5"</f>
        <v>S06.5</v>
      </c>
      <c r="D13" t="s">
        <v>15</v>
      </c>
    </row>
    <row r="14" spans="1:4" x14ac:dyDescent="0.55000000000000004">
      <c r="A14">
        <v>1</v>
      </c>
      <c r="B14" t="s">
        <v>1432</v>
      </c>
      <c r="C14" t="str">
        <f>"S06.50"</f>
        <v>S06.50</v>
      </c>
      <c r="D14" t="s">
        <v>16</v>
      </c>
    </row>
    <row r="15" spans="1:4" x14ac:dyDescent="0.55000000000000004">
      <c r="A15">
        <v>1</v>
      </c>
      <c r="B15" t="s">
        <v>1432</v>
      </c>
      <c r="C15" t="str">
        <f>"S06.51"</f>
        <v>S06.51</v>
      </c>
      <c r="D15" t="s">
        <v>17</v>
      </c>
    </row>
    <row r="16" spans="1:4" x14ac:dyDescent="0.55000000000000004">
      <c r="A16">
        <v>1</v>
      </c>
      <c r="B16" t="s">
        <v>1432</v>
      </c>
      <c r="C16" t="str">
        <f>"S06.6"</f>
        <v>S06.6</v>
      </c>
      <c r="D16" t="s">
        <v>18</v>
      </c>
    </row>
    <row r="17" spans="1:4" x14ac:dyDescent="0.55000000000000004">
      <c r="A17">
        <v>1</v>
      </c>
      <c r="B17" t="s">
        <v>1432</v>
      </c>
      <c r="C17" t="str">
        <f>"S06.60"</f>
        <v>S06.60</v>
      </c>
      <c r="D17" t="s">
        <v>19</v>
      </c>
    </row>
    <row r="18" spans="1:4" x14ac:dyDescent="0.55000000000000004">
      <c r="A18">
        <v>1</v>
      </c>
      <c r="B18" t="s">
        <v>1432</v>
      </c>
      <c r="C18" t="str">
        <f>"S06.61"</f>
        <v>S06.61</v>
      </c>
      <c r="D18" t="s">
        <v>20</v>
      </c>
    </row>
    <row r="19" spans="1:4" x14ac:dyDescent="0.55000000000000004">
      <c r="A19">
        <v>1</v>
      </c>
      <c r="B19" t="s">
        <v>1432</v>
      </c>
      <c r="C19" t="str">
        <f>"S06.7"</f>
        <v>S06.7</v>
      </c>
      <c r="D19" t="s">
        <v>21</v>
      </c>
    </row>
    <row r="20" spans="1:4" x14ac:dyDescent="0.55000000000000004">
      <c r="A20">
        <v>1</v>
      </c>
      <c r="B20" t="s">
        <v>1432</v>
      </c>
      <c r="C20" t="str">
        <f>"S06.70"</f>
        <v>S06.70</v>
      </c>
      <c r="D20" t="s">
        <v>22</v>
      </c>
    </row>
    <row r="21" spans="1:4" x14ac:dyDescent="0.55000000000000004">
      <c r="A21">
        <v>1</v>
      </c>
      <c r="B21" t="s">
        <v>1432</v>
      </c>
      <c r="C21" t="str">
        <f>"S06.71"</f>
        <v>S06.71</v>
      </c>
      <c r="D21" t="s">
        <v>23</v>
      </c>
    </row>
    <row r="22" spans="1:4" x14ac:dyDescent="0.55000000000000004">
      <c r="A22">
        <v>1</v>
      </c>
      <c r="B22" t="s">
        <v>1432</v>
      </c>
      <c r="C22" t="str">
        <f>"S06.8"</f>
        <v>S06.8</v>
      </c>
      <c r="D22" t="s">
        <v>24</v>
      </c>
    </row>
    <row r="23" spans="1:4" x14ac:dyDescent="0.55000000000000004">
      <c r="A23">
        <v>1</v>
      </c>
      <c r="B23" t="s">
        <v>1432</v>
      </c>
      <c r="C23" t="str">
        <f>"S06.80"</f>
        <v>S06.80</v>
      </c>
      <c r="D23" t="s">
        <v>25</v>
      </c>
    </row>
    <row r="24" spans="1:4" x14ac:dyDescent="0.55000000000000004">
      <c r="A24">
        <v>1</v>
      </c>
      <c r="B24" t="s">
        <v>1432</v>
      </c>
      <c r="C24" t="str">
        <f>"S06.81"</f>
        <v>S06.81</v>
      </c>
      <c r="D24" t="s">
        <v>26</v>
      </c>
    </row>
    <row r="25" spans="1:4" x14ac:dyDescent="0.55000000000000004">
      <c r="A25">
        <v>1</v>
      </c>
      <c r="B25" t="s">
        <v>1432</v>
      </c>
      <c r="C25" t="str">
        <f>"S15.0"</f>
        <v>S15.0</v>
      </c>
      <c r="D25" t="s">
        <v>27</v>
      </c>
    </row>
    <row r="26" spans="1:4" x14ac:dyDescent="0.55000000000000004">
      <c r="A26">
        <v>1</v>
      </c>
      <c r="B26" t="s">
        <v>1432</v>
      </c>
      <c r="C26" t="str">
        <f>"S15.1"</f>
        <v>S15.1</v>
      </c>
      <c r="D26" t="s">
        <v>28</v>
      </c>
    </row>
    <row r="27" spans="1:4" x14ac:dyDescent="0.55000000000000004">
      <c r="A27">
        <v>1</v>
      </c>
      <c r="B27" t="s">
        <v>1432</v>
      </c>
      <c r="C27" t="str">
        <f>"S15.2"</f>
        <v>S15.2</v>
      </c>
      <c r="D27" t="s">
        <v>29</v>
      </c>
    </row>
    <row r="28" spans="1:4" x14ac:dyDescent="0.55000000000000004">
      <c r="A28">
        <v>1</v>
      </c>
      <c r="B28" t="s">
        <v>1432</v>
      </c>
      <c r="C28" t="str">
        <f>"S15.3"</f>
        <v>S15.3</v>
      </c>
      <c r="D28" t="s">
        <v>30</v>
      </c>
    </row>
    <row r="29" spans="1:4" x14ac:dyDescent="0.55000000000000004">
      <c r="A29">
        <v>1</v>
      </c>
      <c r="B29" t="s">
        <v>1432</v>
      </c>
      <c r="C29" t="str">
        <f>"T06.0"</f>
        <v>T06.0</v>
      </c>
      <c r="D29" t="s">
        <v>31</v>
      </c>
    </row>
    <row r="30" spans="1:4" x14ac:dyDescent="0.55000000000000004">
      <c r="A30">
        <v>2</v>
      </c>
      <c r="B30" t="s">
        <v>1433</v>
      </c>
      <c r="C30" t="str">
        <f>"S11.0"</f>
        <v>S11.0</v>
      </c>
      <c r="D30" t="s">
        <v>32</v>
      </c>
    </row>
    <row r="31" spans="1:4" x14ac:dyDescent="0.55000000000000004">
      <c r="A31">
        <v>2</v>
      </c>
      <c r="B31" t="s">
        <v>1433</v>
      </c>
      <c r="C31" t="str">
        <f>"S11.2"</f>
        <v>S11.2</v>
      </c>
      <c r="D31" t="s">
        <v>33</v>
      </c>
    </row>
    <row r="32" spans="1:4" x14ac:dyDescent="0.55000000000000004">
      <c r="A32">
        <v>2</v>
      </c>
      <c r="B32" t="s">
        <v>1433</v>
      </c>
      <c r="C32" t="str">
        <f>"S22.21"</f>
        <v>S22.21</v>
      </c>
      <c r="D32" t="s">
        <v>34</v>
      </c>
    </row>
    <row r="33" spans="1:4" x14ac:dyDescent="0.55000000000000004">
      <c r="A33">
        <v>2</v>
      </c>
      <c r="B33" t="s">
        <v>1433</v>
      </c>
      <c r="C33" t="str">
        <f>"S22.41"</f>
        <v>S22.41</v>
      </c>
      <c r="D33" t="s">
        <v>35</v>
      </c>
    </row>
    <row r="34" spans="1:4" x14ac:dyDescent="0.55000000000000004">
      <c r="A34">
        <v>2</v>
      </c>
      <c r="B34" t="s">
        <v>1433</v>
      </c>
      <c r="C34" t="str">
        <f>"S22.5"</f>
        <v>S22.5</v>
      </c>
      <c r="D34" t="s">
        <v>36</v>
      </c>
    </row>
    <row r="35" spans="1:4" x14ac:dyDescent="0.55000000000000004">
      <c r="A35">
        <v>2</v>
      </c>
      <c r="B35" t="s">
        <v>1433</v>
      </c>
      <c r="C35" t="str">
        <f>"S22.50"</f>
        <v>S22.50</v>
      </c>
      <c r="D35" t="s">
        <v>37</v>
      </c>
    </row>
    <row r="36" spans="1:4" x14ac:dyDescent="0.55000000000000004">
      <c r="A36">
        <v>2</v>
      </c>
      <c r="B36" t="s">
        <v>1433</v>
      </c>
      <c r="C36" t="str">
        <f>"S22.51"</f>
        <v>S22.51</v>
      </c>
      <c r="D36" t="s">
        <v>38</v>
      </c>
    </row>
    <row r="37" spans="1:4" x14ac:dyDescent="0.55000000000000004">
      <c r="A37">
        <v>2</v>
      </c>
      <c r="B37" t="s">
        <v>1433</v>
      </c>
      <c r="C37" t="str">
        <f>"S22.81"</f>
        <v>S22.81</v>
      </c>
      <c r="D37" t="s">
        <v>39</v>
      </c>
    </row>
    <row r="38" spans="1:4" x14ac:dyDescent="0.55000000000000004">
      <c r="A38">
        <v>2</v>
      </c>
      <c r="B38" t="s">
        <v>1433</v>
      </c>
      <c r="C38" t="str">
        <f>"S25.0"</f>
        <v>S25.0</v>
      </c>
      <c r="D38" t="s">
        <v>40</v>
      </c>
    </row>
    <row r="39" spans="1:4" x14ac:dyDescent="0.55000000000000004">
      <c r="A39">
        <v>2</v>
      </c>
      <c r="B39" t="s">
        <v>1433</v>
      </c>
      <c r="C39" t="str">
        <f>"S25.1"</f>
        <v>S25.1</v>
      </c>
      <c r="D39" t="s">
        <v>41</v>
      </c>
    </row>
    <row r="40" spans="1:4" x14ac:dyDescent="0.55000000000000004">
      <c r="A40">
        <v>2</v>
      </c>
      <c r="B40" t="s">
        <v>1433</v>
      </c>
      <c r="C40" t="str">
        <f>"S25.2"</f>
        <v>S25.2</v>
      </c>
      <c r="D40" t="s">
        <v>42</v>
      </c>
    </row>
    <row r="41" spans="1:4" x14ac:dyDescent="0.55000000000000004">
      <c r="A41">
        <v>2</v>
      </c>
      <c r="B41" t="s">
        <v>1433</v>
      </c>
      <c r="C41" t="str">
        <f>"S25.3"</f>
        <v>S25.3</v>
      </c>
      <c r="D41" t="s">
        <v>43</v>
      </c>
    </row>
    <row r="42" spans="1:4" x14ac:dyDescent="0.55000000000000004">
      <c r="A42">
        <v>2</v>
      </c>
      <c r="B42" t="s">
        <v>1433</v>
      </c>
      <c r="C42" t="str">
        <f>"S25.4"</f>
        <v>S25.4</v>
      </c>
      <c r="D42" t="s">
        <v>44</v>
      </c>
    </row>
    <row r="43" spans="1:4" x14ac:dyDescent="0.55000000000000004">
      <c r="A43">
        <v>2</v>
      </c>
      <c r="B43" t="s">
        <v>1433</v>
      </c>
      <c r="C43" t="str">
        <f>"S25.7"</f>
        <v>S25.7</v>
      </c>
      <c r="D43" t="s">
        <v>45</v>
      </c>
    </row>
    <row r="44" spans="1:4" x14ac:dyDescent="0.55000000000000004">
      <c r="A44">
        <v>2</v>
      </c>
      <c r="B44" t="s">
        <v>1433</v>
      </c>
      <c r="C44" t="str">
        <f>"S26.0"</f>
        <v>S26.0</v>
      </c>
      <c r="D44" t="s">
        <v>46</v>
      </c>
    </row>
    <row r="45" spans="1:4" x14ac:dyDescent="0.55000000000000004">
      <c r="A45">
        <v>2</v>
      </c>
      <c r="B45" t="s">
        <v>1433</v>
      </c>
      <c r="C45" t="str">
        <f>"S26.00"</f>
        <v>S26.00</v>
      </c>
      <c r="D45" t="s">
        <v>47</v>
      </c>
    </row>
    <row r="46" spans="1:4" x14ac:dyDescent="0.55000000000000004">
      <c r="A46">
        <v>2</v>
      </c>
      <c r="B46" t="s">
        <v>1433</v>
      </c>
      <c r="C46" t="str">
        <f>"S26.01"</f>
        <v>S26.01</v>
      </c>
      <c r="D46" t="s">
        <v>48</v>
      </c>
    </row>
    <row r="47" spans="1:4" x14ac:dyDescent="0.55000000000000004">
      <c r="A47">
        <v>2</v>
      </c>
      <c r="B47" t="s">
        <v>1433</v>
      </c>
      <c r="C47" t="str">
        <f>"S26.8"</f>
        <v>S26.8</v>
      </c>
      <c r="D47" t="s">
        <v>49</v>
      </c>
    </row>
    <row r="48" spans="1:4" x14ac:dyDescent="0.55000000000000004">
      <c r="A48">
        <v>2</v>
      </c>
      <c r="B48" t="s">
        <v>1433</v>
      </c>
      <c r="C48" t="str">
        <f>"S26.80"</f>
        <v>S26.80</v>
      </c>
      <c r="D48" t="s">
        <v>50</v>
      </c>
    </row>
    <row r="49" spans="1:4" x14ac:dyDescent="0.55000000000000004">
      <c r="A49">
        <v>2</v>
      </c>
      <c r="B49" t="s">
        <v>1433</v>
      </c>
      <c r="C49" t="str">
        <f>"S26.81"</f>
        <v>S26.81</v>
      </c>
      <c r="D49" t="s">
        <v>51</v>
      </c>
    </row>
    <row r="50" spans="1:4" x14ac:dyDescent="0.55000000000000004">
      <c r="A50">
        <v>2</v>
      </c>
      <c r="B50" t="s">
        <v>1433</v>
      </c>
      <c r="C50" t="str">
        <f>"S26.9"</f>
        <v>S26.9</v>
      </c>
      <c r="D50" t="s">
        <v>52</v>
      </c>
    </row>
    <row r="51" spans="1:4" x14ac:dyDescent="0.55000000000000004">
      <c r="A51">
        <v>2</v>
      </c>
      <c r="B51" t="s">
        <v>1433</v>
      </c>
      <c r="C51" t="str">
        <f>"S26.90"</f>
        <v>S26.90</v>
      </c>
      <c r="D51" t="s">
        <v>53</v>
      </c>
    </row>
    <row r="52" spans="1:4" x14ac:dyDescent="0.55000000000000004">
      <c r="A52">
        <v>2</v>
      </c>
      <c r="B52" t="s">
        <v>1433</v>
      </c>
      <c r="C52" t="str">
        <f>"S26.91"</f>
        <v>S26.91</v>
      </c>
      <c r="D52" t="s">
        <v>54</v>
      </c>
    </row>
    <row r="53" spans="1:4" x14ac:dyDescent="0.55000000000000004">
      <c r="A53">
        <v>2</v>
      </c>
      <c r="B53" t="s">
        <v>1433</v>
      </c>
      <c r="C53" t="str">
        <f>"S27.0"</f>
        <v>S27.0</v>
      </c>
      <c r="D53" t="s">
        <v>55</v>
      </c>
    </row>
    <row r="54" spans="1:4" x14ac:dyDescent="0.55000000000000004">
      <c r="A54">
        <v>2</v>
      </c>
      <c r="B54" t="s">
        <v>1433</v>
      </c>
      <c r="C54" t="str">
        <f>"S27.00"</f>
        <v>S27.00</v>
      </c>
      <c r="D54" t="s">
        <v>56</v>
      </c>
    </row>
    <row r="55" spans="1:4" x14ac:dyDescent="0.55000000000000004">
      <c r="A55">
        <v>2</v>
      </c>
      <c r="B55" t="s">
        <v>1433</v>
      </c>
      <c r="C55" t="str">
        <f>"S27.01"</f>
        <v>S27.01</v>
      </c>
      <c r="D55" t="s">
        <v>57</v>
      </c>
    </row>
    <row r="56" spans="1:4" x14ac:dyDescent="0.55000000000000004">
      <c r="A56">
        <v>2</v>
      </c>
      <c r="B56" t="s">
        <v>1433</v>
      </c>
      <c r="C56" t="str">
        <f>"S27.1"</f>
        <v>S27.1</v>
      </c>
      <c r="D56" t="s">
        <v>58</v>
      </c>
    </row>
    <row r="57" spans="1:4" x14ac:dyDescent="0.55000000000000004">
      <c r="A57">
        <v>2</v>
      </c>
      <c r="B57" t="s">
        <v>1433</v>
      </c>
      <c r="C57" t="str">
        <f>"S27.10"</f>
        <v>S27.10</v>
      </c>
      <c r="D57" t="s">
        <v>59</v>
      </c>
    </row>
    <row r="58" spans="1:4" x14ac:dyDescent="0.55000000000000004">
      <c r="A58">
        <v>2</v>
      </c>
      <c r="B58" t="s">
        <v>1433</v>
      </c>
      <c r="C58" t="str">
        <f>"S27.11"</f>
        <v>S27.11</v>
      </c>
      <c r="D58" t="s">
        <v>60</v>
      </c>
    </row>
    <row r="59" spans="1:4" x14ac:dyDescent="0.55000000000000004">
      <c r="A59">
        <v>2</v>
      </c>
      <c r="B59" t="s">
        <v>1433</v>
      </c>
      <c r="C59" t="str">
        <f>"S27.2"</f>
        <v>S27.2</v>
      </c>
      <c r="D59" t="s">
        <v>61</v>
      </c>
    </row>
    <row r="60" spans="1:4" x14ac:dyDescent="0.55000000000000004">
      <c r="A60">
        <v>2</v>
      </c>
      <c r="B60" t="s">
        <v>1433</v>
      </c>
      <c r="C60" t="str">
        <f>"S27.20"</f>
        <v>S27.20</v>
      </c>
      <c r="D60" t="s">
        <v>62</v>
      </c>
    </row>
    <row r="61" spans="1:4" x14ac:dyDescent="0.55000000000000004">
      <c r="A61">
        <v>2</v>
      </c>
      <c r="B61" t="s">
        <v>1433</v>
      </c>
      <c r="C61" t="str">
        <f>"S27.21"</f>
        <v>S27.21</v>
      </c>
      <c r="D61" t="s">
        <v>63</v>
      </c>
    </row>
    <row r="62" spans="1:4" x14ac:dyDescent="0.55000000000000004">
      <c r="A62">
        <v>2</v>
      </c>
      <c r="B62" t="s">
        <v>1433</v>
      </c>
      <c r="C62" t="str">
        <f>"S27.3"</f>
        <v>S27.3</v>
      </c>
      <c r="D62" t="s">
        <v>64</v>
      </c>
    </row>
    <row r="63" spans="1:4" x14ac:dyDescent="0.55000000000000004">
      <c r="A63">
        <v>2</v>
      </c>
      <c r="B63" t="s">
        <v>1433</v>
      </c>
      <c r="C63" t="str">
        <f>"S27.30"</f>
        <v>S27.30</v>
      </c>
      <c r="D63" t="s">
        <v>65</v>
      </c>
    </row>
    <row r="64" spans="1:4" x14ac:dyDescent="0.55000000000000004">
      <c r="A64">
        <v>2</v>
      </c>
      <c r="B64" t="s">
        <v>1433</v>
      </c>
      <c r="C64" t="str">
        <f>"S27.31"</f>
        <v>S27.31</v>
      </c>
      <c r="D64" t="s">
        <v>66</v>
      </c>
    </row>
    <row r="65" spans="1:4" x14ac:dyDescent="0.55000000000000004">
      <c r="A65">
        <v>2</v>
      </c>
      <c r="B65" t="s">
        <v>1433</v>
      </c>
      <c r="C65" t="str">
        <f>"S27.32"</f>
        <v>S27.32</v>
      </c>
      <c r="D65" t="s">
        <v>67</v>
      </c>
    </row>
    <row r="66" spans="1:4" x14ac:dyDescent="0.55000000000000004">
      <c r="A66">
        <v>2</v>
      </c>
      <c r="B66" t="s">
        <v>1433</v>
      </c>
      <c r="C66" t="str">
        <f>"S27.33"</f>
        <v>S27.33</v>
      </c>
      <c r="D66" t="s">
        <v>68</v>
      </c>
    </row>
    <row r="67" spans="1:4" x14ac:dyDescent="0.55000000000000004">
      <c r="A67">
        <v>2</v>
      </c>
      <c r="B67" t="s">
        <v>1433</v>
      </c>
      <c r="C67" t="str">
        <f>"S27.4"</f>
        <v>S27.4</v>
      </c>
      <c r="D67" t="s">
        <v>69</v>
      </c>
    </row>
    <row r="68" spans="1:4" x14ac:dyDescent="0.55000000000000004">
      <c r="A68">
        <v>2</v>
      </c>
      <c r="B68" t="s">
        <v>1433</v>
      </c>
      <c r="C68" t="str">
        <f>"S27.40"</f>
        <v>S27.40</v>
      </c>
      <c r="D68" t="s">
        <v>70</v>
      </c>
    </row>
    <row r="69" spans="1:4" x14ac:dyDescent="0.55000000000000004">
      <c r="A69">
        <v>2</v>
      </c>
      <c r="B69" t="s">
        <v>1433</v>
      </c>
      <c r="C69" t="str">
        <f>"S27.41"</f>
        <v>S27.41</v>
      </c>
      <c r="D69" t="s">
        <v>71</v>
      </c>
    </row>
    <row r="70" spans="1:4" x14ac:dyDescent="0.55000000000000004">
      <c r="A70">
        <v>2</v>
      </c>
      <c r="B70" t="s">
        <v>1433</v>
      </c>
      <c r="C70" t="str">
        <f>"S27.5"</f>
        <v>S27.5</v>
      </c>
      <c r="D70" t="s">
        <v>72</v>
      </c>
    </row>
    <row r="71" spans="1:4" x14ac:dyDescent="0.55000000000000004">
      <c r="A71">
        <v>2</v>
      </c>
      <c r="B71" t="s">
        <v>1433</v>
      </c>
      <c r="C71" t="str">
        <f>"S27.50"</f>
        <v>S27.50</v>
      </c>
      <c r="D71" t="s">
        <v>73</v>
      </c>
    </row>
    <row r="72" spans="1:4" x14ac:dyDescent="0.55000000000000004">
      <c r="A72">
        <v>2</v>
      </c>
      <c r="B72" t="s">
        <v>1433</v>
      </c>
      <c r="C72" t="str">
        <f>"S27.51"</f>
        <v>S27.51</v>
      </c>
      <c r="D72" t="s">
        <v>74</v>
      </c>
    </row>
    <row r="73" spans="1:4" x14ac:dyDescent="0.55000000000000004">
      <c r="A73">
        <v>2</v>
      </c>
      <c r="B73" t="s">
        <v>1433</v>
      </c>
      <c r="C73" t="str">
        <f>"S27.6"</f>
        <v>S27.6</v>
      </c>
      <c r="D73" t="s">
        <v>75</v>
      </c>
    </row>
    <row r="74" spans="1:4" x14ac:dyDescent="0.55000000000000004">
      <c r="A74">
        <v>2</v>
      </c>
      <c r="B74" t="s">
        <v>1433</v>
      </c>
      <c r="C74" t="str">
        <f>"S27.60"</f>
        <v>S27.60</v>
      </c>
      <c r="D74" t="s">
        <v>76</v>
      </c>
    </row>
    <row r="75" spans="1:4" x14ac:dyDescent="0.55000000000000004">
      <c r="A75">
        <v>2</v>
      </c>
      <c r="B75" t="s">
        <v>1433</v>
      </c>
      <c r="C75" t="str">
        <f>"S27.61"</f>
        <v>S27.61</v>
      </c>
      <c r="D75" t="s">
        <v>77</v>
      </c>
    </row>
    <row r="76" spans="1:4" x14ac:dyDescent="0.55000000000000004">
      <c r="A76">
        <v>2</v>
      </c>
      <c r="B76" t="s">
        <v>1433</v>
      </c>
      <c r="C76" t="str">
        <f>"S27.7"</f>
        <v>S27.7</v>
      </c>
      <c r="D76" t="s">
        <v>78</v>
      </c>
    </row>
    <row r="77" spans="1:4" x14ac:dyDescent="0.55000000000000004">
      <c r="A77">
        <v>2</v>
      </c>
      <c r="B77" t="s">
        <v>1433</v>
      </c>
      <c r="C77" t="str">
        <f>"S27.70"</f>
        <v>S27.70</v>
      </c>
      <c r="D77" t="s">
        <v>79</v>
      </c>
    </row>
    <row r="78" spans="1:4" x14ac:dyDescent="0.55000000000000004">
      <c r="A78">
        <v>2</v>
      </c>
      <c r="B78" t="s">
        <v>1433</v>
      </c>
      <c r="C78" t="str">
        <f>"S27.71"</f>
        <v>S27.71</v>
      </c>
      <c r="D78" t="s">
        <v>80</v>
      </c>
    </row>
    <row r="79" spans="1:4" x14ac:dyDescent="0.55000000000000004">
      <c r="A79">
        <v>2</v>
      </c>
      <c r="B79" t="s">
        <v>1433</v>
      </c>
      <c r="C79" t="str">
        <f>"S27.8"</f>
        <v>S27.8</v>
      </c>
      <c r="D79" t="s">
        <v>81</v>
      </c>
    </row>
    <row r="80" spans="1:4" x14ac:dyDescent="0.55000000000000004">
      <c r="A80">
        <v>2</v>
      </c>
      <c r="B80" t="s">
        <v>1433</v>
      </c>
      <c r="C80" t="str">
        <f>"S27.80"</f>
        <v>S27.80</v>
      </c>
      <c r="D80" t="s">
        <v>82</v>
      </c>
    </row>
    <row r="81" spans="1:4" x14ac:dyDescent="0.55000000000000004">
      <c r="A81">
        <v>2</v>
      </c>
      <c r="B81" t="s">
        <v>1433</v>
      </c>
      <c r="C81" t="str">
        <f>"S27.81"</f>
        <v>S27.81</v>
      </c>
      <c r="D81" t="s">
        <v>83</v>
      </c>
    </row>
    <row r="82" spans="1:4" x14ac:dyDescent="0.55000000000000004">
      <c r="A82">
        <v>2</v>
      </c>
      <c r="B82" t="s">
        <v>1433</v>
      </c>
      <c r="C82" t="str">
        <f>"S28.1"</f>
        <v>S28.1</v>
      </c>
      <c r="D82" t="s">
        <v>84</v>
      </c>
    </row>
    <row r="83" spans="1:4" x14ac:dyDescent="0.55000000000000004">
      <c r="A83">
        <v>2</v>
      </c>
      <c r="B83" t="s">
        <v>1433</v>
      </c>
      <c r="C83" t="str">
        <f>"T79.0"</f>
        <v>T79.0</v>
      </c>
      <c r="D83" t="s">
        <v>85</v>
      </c>
    </row>
    <row r="84" spans="1:4" x14ac:dyDescent="0.55000000000000004">
      <c r="A84">
        <v>2</v>
      </c>
      <c r="B84" t="s">
        <v>1433</v>
      </c>
      <c r="C84" t="str">
        <f>"T79.1"</f>
        <v>T79.1</v>
      </c>
      <c r="D84" t="s">
        <v>86</v>
      </c>
    </row>
    <row r="85" spans="1:4" x14ac:dyDescent="0.55000000000000004">
      <c r="A85">
        <v>3</v>
      </c>
      <c r="B85" t="s">
        <v>1434</v>
      </c>
      <c r="C85" t="str">
        <f>"S35.0"</f>
        <v>S35.0</v>
      </c>
      <c r="D85" t="s">
        <v>87</v>
      </c>
    </row>
    <row r="86" spans="1:4" x14ac:dyDescent="0.55000000000000004">
      <c r="A86">
        <v>3</v>
      </c>
      <c r="B86" t="s">
        <v>1434</v>
      </c>
      <c r="C86" t="str">
        <f>"S35.1"</f>
        <v>S35.1</v>
      </c>
      <c r="D86" t="s">
        <v>88</v>
      </c>
    </row>
    <row r="87" spans="1:4" x14ac:dyDescent="0.55000000000000004">
      <c r="A87">
        <v>3</v>
      </c>
      <c r="B87" t="s">
        <v>1434</v>
      </c>
      <c r="C87" t="str">
        <f>"S35.2"</f>
        <v>S35.2</v>
      </c>
      <c r="D87" t="s">
        <v>89</v>
      </c>
    </row>
    <row r="88" spans="1:4" x14ac:dyDescent="0.55000000000000004">
      <c r="A88">
        <v>3</v>
      </c>
      <c r="B88" t="s">
        <v>1434</v>
      </c>
      <c r="C88" t="str">
        <f>"S35.3"</f>
        <v>S35.3</v>
      </c>
      <c r="D88" t="s">
        <v>90</v>
      </c>
    </row>
    <row r="89" spans="1:4" x14ac:dyDescent="0.55000000000000004">
      <c r="A89">
        <v>3</v>
      </c>
      <c r="B89" t="s">
        <v>1434</v>
      </c>
      <c r="C89" t="str">
        <f>"S35.4"</f>
        <v>S35.4</v>
      </c>
      <c r="D89" t="s">
        <v>91</v>
      </c>
    </row>
    <row r="90" spans="1:4" x14ac:dyDescent="0.55000000000000004">
      <c r="A90">
        <v>3</v>
      </c>
      <c r="B90" t="s">
        <v>1434</v>
      </c>
      <c r="C90" t="str">
        <f>"S35.5"</f>
        <v>S35.5</v>
      </c>
      <c r="D90" t="s">
        <v>92</v>
      </c>
    </row>
    <row r="91" spans="1:4" x14ac:dyDescent="0.55000000000000004">
      <c r="A91">
        <v>3</v>
      </c>
      <c r="B91" t="s">
        <v>1434</v>
      </c>
      <c r="C91" t="str">
        <f>"S36.0"</f>
        <v>S36.0</v>
      </c>
      <c r="D91" t="s">
        <v>93</v>
      </c>
    </row>
    <row r="92" spans="1:4" x14ac:dyDescent="0.55000000000000004">
      <c r="A92">
        <v>3</v>
      </c>
      <c r="B92" t="s">
        <v>1434</v>
      </c>
      <c r="C92" t="str">
        <f>"S36.00"</f>
        <v>S36.00</v>
      </c>
      <c r="D92" t="s">
        <v>94</v>
      </c>
    </row>
    <row r="93" spans="1:4" x14ac:dyDescent="0.55000000000000004">
      <c r="A93">
        <v>3</v>
      </c>
      <c r="B93" t="s">
        <v>1434</v>
      </c>
      <c r="C93" t="str">
        <f>"S36.01"</f>
        <v>S36.01</v>
      </c>
      <c r="D93" t="s">
        <v>95</v>
      </c>
    </row>
    <row r="94" spans="1:4" x14ac:dyDescent="0.55000000000000004">
      <c r="A94">
        <v>3</v>
      </c>
      <c r="B94" t="s">
        <v>1434</v>
      </c>
      <c r="C94" t="str">
        <f>"S36.1"</f>
        <v>S36.1</v>
      </c>
      <c r="D94" t="s">
        <v>96</v>
      </c>
    </row>
    <row r="95" spans="1:4" x14ac:dyDescent="0.55000000000000004">
      <c r="A95">
        <v>3</v>
      </c>
      <c r="B95" t="s">
        <v>1434</v>
      </c>
      <c r="C95" t="str">
        <f>"S36.10"</f>
        <v>S36.10</v>
      </c>
      <c r="D95" t="s">
        <v>97</v>
      </c>
    </row>
    <row r="96" spans="1:4" x14ac:dyDescent="0.55000000000000004">
      <c r="A96">
        <v>3</v>
      </c>
      <c r="B96" t="s">
        <v>1434</v>
      </c>
      <c r="C96" t="str">
        <f>"S36.11"</f>
        <v>S36.11</v>
      </c>
      <c r="D96" t="s">
        <v>98</v>
      </c>
    </row>
    <row r="97" spans="1:4" x14ac:dyDescent="0.55000000000000004">
      <c r="A97">
        <v>3</v>
      </c>
      <c r="B97" t="s">
        <v>1434</v>
      </c>
      <c r="C97" t="str">
        <f>"S36.2"</f>
        <v>S36.2</v>
      </c>
      <c r="D97" t="s">
        <v>99</v>
      </c>
    </row>
    <row r="98" spans="1:4" x14ac:dyDescent="0.55000000000000004">
      <c r="A98">
        <v>3</v>
      </c>
      <c r="B98" t="s">
        <v>1434</v>
      </c>
      <c r="C98" t="str">
        <f>"S36.20"</f>
        <v>S36.20</v>
      </c>
      <c r="D98" t="s">
        <v>100</v>
      </c>
    </row>
    <row r="99" spans="1:4" x14ac:dyDescent="0.55000000000000004">
      <c r="A99">
        <v>3</v>
      </c>
      <c r="B99" t="s">
        <v>1434</v>
      </c>
      <c r="C99" t="str">
        <f>"S36.21"</f>
        <v>S36.21</v>
      </c>
      <c r="D99" t="s">
        <v>101</v>
      </c>
    </row>
    <row r="100" spans="1:4" x14ac:dyDescent="0.55000000000000004">
      <c r="A100">
        <v>3</v>
      </c>
      <c r="B100" t="s">
        <v>1434</v>
      </c>
      <c r="C100" t="str">
        <f>"S36.3"</f>
        <v>S36.3</v>
      </c>
      <c r="D100" t="s">
        <v>102</v>
      </c>
    </row>
    <row r="101" spans="1:4" x14ac:dyDescent="0.55000000000000004">
      <c r="A101">
        <v>3</v>
      </c>
      <c r="B101" t="s">
        <v>1434</v>
      </c>
      <c r="C101" t="str">
        <f>"S36.30"</f>
        <v>S36.30</v>
      </c>
      <c r="D101" t="s">
        <v>103</v>
      </c>
    </row>
    <row r="102" spans="1:4" x14ac:dyDescent="0.55000000000000004">
      <c r="A102">
        <v>3</v>
      </c>
      <c r="B102" t="s">
        <v>1434</v>
      </c>
      <c r="C102" t="str">
        <f>"S36.31"</f>
        <v>S36.31</v>
      </c>
      <c r="D102" t="s">
        <v>104</v>
      </c>
    </row>
    <row r="103" spans="1:4" x14ac:dyDescent="0.55000000000000004">
      <c r="A103">
        <v>3</v>
      </c>
      <c r="B103" t="s">
        <v>1434</v>
      </c>
      <c r="C103" t="str">
        <f>"S36.4"</f>
        <v>S36.4</v>
      </c>
      <c r="D103" t="s">
        <v>105</v>
      </c>
    </row>
    <row r="104" spans="1:4" x14ac:dyDescent="0.55000000000000004">
      <c r="A104">
        <v>3</v>
      </c>
      <c r="B104" t="s">
        <v>1434</v>
      </c>
      <c r="C104" t="str">
        <f>"S36.40"</f>
        <v>S36.40</v>
      </c>
      <c r="D104" t="s">
        <v>106</v>
      </c>
    </row>
    <row r="105" spans="1:4" x14ac:dyDescent="0.55000000000000004">
      <c r="A105">
        <v>3</v>
      </c>
      <c r="B105" t="s">
        <v>1434</v>
      </c>
      <c r="C105" t="str">
        <f>"S36.41"</f>
        <v>S36.41</v>
      </c>
      <c r="D105" t="s">
        <v>107</v>
      </c>
    </row>
    <row r="106" spans="1:4" x14ac:dyDescent="0.55000000000000004">
      <c r="A106">
        <v>3</v>
      </c>
      <c r="B106" t="s">
        <v>1434</v>
      </c>
      <c r="C106" t="str">
        <f>"S36.5"</f>
        <v>S36.5</v>
      </c>
      <c r="D106" t="s">
        <v>108</v>
      </c>
    </row>
    <row r="107" spans="1:4" x14ac:dyDescent="0.55000000000000004">
      <c r="A107">
        <v>3</v>
      </c>
      <c r="B107" t="s">
        <v>1434</v>
      </c>
      <c r="C107" t="str">
        <f>"S36.50"</f>
        <v>S36.50</v>
      </c>
      <c r="D107" t="s">
        <v>109</v>
      </c>
    </row>
    <row r="108" spans="1:4" x14ac:dyDescent="0.55000000000000004">
      <c r="A108">
        <v>3</v>
      </c>
      <c r="B108" t="s">
        <v>1434</v>
      </c>
      <c r="C108" t="str">
        <f>"S36.51"</f>
        <v>S36.51</v>
      </c>
      <c r="D108" t="s">
        <v>110</v>
      </c>
    </row>
    <row r="109" spans="1:4" x14ac:dyDescent="0.55000000000000004">
      <c r="A109">
        <v>3</v>
      </c>
      <c r="B109" t="s">
        <v>1434</v>
      </c>
      <c r="C109" t="str">
        <f>"S36.6"</f>
        <v>S36.6</v>
      </c>
      <c r="D109" t="s">
        <v>111</v>
      </c>
    </row>
    <row r="110" spans="1:4" x14ac:dyDescent="0.55000000000000004">
      <c r="A110">
        <v>3</v>
      </c>
      <c r="B110" t="s">
        <v>1434</v>
      </c>
      <c r="C110" t="str">
        <f>"S36.60"</f>
        <v>S36.60</v>
      </c>
      <c r="D110" t="s">
        <v>112</v>
      </c>
    </row>
    <row r="111" spans="1:4" x14ac:dyDescent="0.55000000000000004">
      <c r="A111">
        <v>3</v>
      </c>
      <c r="B111" t="s">
        <v>1434</v>
      </c>
      <c r="C111" t="str">
        <f>"S36.61"</f>
        <v>S36.61</v>
      </c>
      <c r="D111" t="s">
        <v>113</v>
      </c>
    </row>
    <row r="112" spans="1:4" x14ac:dyDescent="0.55000000000000004">
      <c r="A112">
        <v>3</v>
      </c>
      <c r="B112" t="s">
        <v>1434</v>
      </c>
      <c r="C112" t="str">
        <f>"S36.7"</f>
        <v>S36.7</v>
      </c>
      <c r="D112" t="s">
        <v>114</v>
      </c>
    </row>
    <row r="113" spans="1:4" x14ac:dyDescent="0.55000000000000004">
      <c r="A113">
        <v>3</v>
      </c>
      <c r="B113" t="s">
        <v>1434</v>
      </c>
      <c r="C113" t="str">
        <f>"S36.70"</f>
        <v>S36.70</v>
      </c>
      <c r="D113" t="s">
        <v>115</v>
      </c>
    </row>
    <row r="114" spans="1:4" x14ac:dyDescent="0.55000000000000004">
      <c r="A114">
        <v>3</v>
      </c>
      <c r="B114" t="s">
        <v>1434</v>
      </c>
      <c r="C114" t="str">
        <f>"S36.71"</f>
        <v>S36.71</v>
      </c>
      <c r="D114" t="s">
        <v>116</v>
      </c>
    </row>
    <row r="115" spans="1:4" x14ac:dyDescent="0.55000000000000004">
      <c r="A115">
        <v>3</v>
      </c>
      <c r="B115" t="s">
        <v>1434</v>
      </c>
      <c r="C115" t="str">
        <f>"S36.8"</f>
        <v>S36.8</v>
      </c>
      <c r="D115" t="s">
        <v>117</v>
      </c>
    </row>
    <row r="116" spans="1:4" x14ac:dyDescent="0.55000000000000004">
      <c r="A116">
        <v>3</v>
      </c>
      <c r="B116" t="s">
        <v>1434</v>
      </c>
      <c r="C116" t="str">
        <f>"S36.80"</f>
        <v>S36.80</v>
      </c>
      <c r="D116" t="s">
        <v>118</v>
      </c>
    </row>
    <row r="117" spans="1:4" x14ac:dyDescent="0.55000000000000004">
      <c r="A117">
        <v>3</v>
      </c>
      <c r="B117" t="s">
        <v>1434</v>
      </c>
      <c r="C117" t="str">
        <f>"S36.81"</f>
        <v>S36.81</v>
      </c>
      <c r="D117" t="s">
        <v>119</v>
      </c>
    </row>
    <row r="118" spans="1:4" x14ac:dyDescent="0.55000000000000004">
      <c r="A118">
        <v>3</v>
      </c>
      <c r="B118" t="s">
        <v>1434</v>
      </c>
      <c r="C118" t="str">
        <f>"T01.1"</f>
        <v>T01.1</v>
      </c>
      <c r="D118" t="s">
        <v>120</v>
      </c>
    </row>
    <row r="119" spans="1:4" x14ac:dyDescent="0.55000000000000004">
      <c r="A119">
        <v>3</v>
      </c>
      <c r="B119" t="s">
        <v>1434</v>
      </c>
      <c r="C119" t="str">
        <f>"T06.5"</f>
        <v>T06.5</v>
      </c>
      <c r="D119" t="s">
        <v>121</v>
      </c>
    </row>
    <row r="120" spans="1:4" x14ac:dyDescent="0.55000000000000004">
      <c r="A120">
        <v>4</v>
      </c>
      <c r="B120" t="s">
        <v>1435</v>
      </c>
      <c r="C120" t="str">
        <f>"S37.0"</f>
        <v>S37.0</v>
      </c>
      <c r="D120" t="s">
        <v>122</v>
      </c>
    </row>
    <row r="121" spans="1:4" x14ac:dyDescent="0.55000000000000004">
      <c r="A121">
        <v>4</v>
      </c>
      <c r="B121" t="s">
        <v>1435</v>
      </c>
      <c r="C121" t="str">
        <f>"S37.00"</f>
        <v>S37.00</v>
      </c>
      <c r="D121" t="s">
        <v>123</v>
      </c>
    </row>
    <row r="122" spans="1:4" x14ac:dyDescent="0.55000000000000004">
      <c r="A122">
        <v>4</v>
      </c>
      <c r="B122" t="s">
        <v>1435</v>
      </c>
      <c r="C122" t="str">
        <f>"S37.01"</f>
        <v>S37.01</v>
      </c>
      <c r="D122" t="s">
        <v>124</v>
      </c>
    </row>
    <row r="123" spans="1:4" x14ac:dyDescent="0.55000000000000004">
      <c r="A123">
        <v>5</v>
      </c>
      <c r="B123" t="s">
        <v>1436</v>
      </c>
      <c r="C123" t="str">
        <f>"S37.1"</f>
        <v>S37.1</v>
      </c>
      <c r="D123" t="s">
        <v>125</v>
      </c>
    </row>
    <row r="124" spans="1:4" x14ac:dyDescent="0.55000000000000004">
      <c r="A124">
        <v>5</v>
      </c>
      <c r="B124" t="s">
        <v>1436</v>
      </c>
      <c r="C124" t="str">
        <f>"S37.10"</f>
        <v>S37.10</v>
      </c>
      <c r="D124" t="s">
        <v>126</v>
      </c>
    </row>
    <row r="125" spans="1:4" x14ac:dyDescent="0.55000000000000004">
      <c r="A125">
        <v>5</v>
      </c>
      <c r="B125" t="s">
        <v>1436</v>
      </c>
      <c r="C125" t="str">
        <f>"S37.11"</f>
        <v>S37.11</v>
      </c>
      <c r="D125" t="s">
        <v>127</v>
      </c>
    </row>
    <row r="126" spans="1:4" x14ac:dyDescent="0.55000000000000004">
      <c r="A126">
        <v>5</v>
      </c>
      <c r="B126" t="s">
        <v>1436</v>
      </c>
      <c r="C126" t="str">
        <f>"S37.2"</f>
        <v>S37.2</v>
      </c>
      <c r="D126" t="s">
        <v>128</v>
      </c>
    </row>
    <row r="127" spans="1:4" x14ac:dyDescent="0.55000000000000004">
      <c r="A127">
        <v>5</v>
      </c>
      <c r="B127" t="s">
        <v>1436</v>
      </c>
      <c r="C127" t="str">
        <f>"S37.20"</f>
        <v>S37.20</v>
      </c>
      <c r="D127" t="s">
        <v>129</v>
      </c>
    </row>
    <row r="128" spans="1:4" x14ac:dyDescent="0.55000000000000004">
      <c r="A128">
        <v>5</v>
      </c>
      <c r="B128" t="s">
        <v>1436</v>
      </c>
      <c r="C128" t="str">
        <f>"S37.21"</f>
        <v>S37.21</v>
      </c>
      <c r="D128" t="s">
        <v>130</v>
      </c>
    </row>
    <row r="129" spans="1:4" x14ac:dyDescent="0.55000000000000004">
      <c r="A129">
        <v>5</v>
      </c>
      <c r="B129" t="s">
        <v>1436</v>
      </c>
      <c r="C129" t="str">
        <f>"S37.3"</f>
        <v>S37.3</v>
      </c>
      <c r="D129" t="s">
        <v>131</v>
      </c>
    </row>
    <row r="130" spans="1:4" x14ac:dyDescent="0.55000000000000004">
      <c r="A130">
        <v>5</v>
      </c>
      <c r="B130" t="s">
        <v>1436</v>
      </c>
      <c r="C130" t="str">
        <f>"S37.30"</f>
        <v>S37.30</v>
      </c>
      <c r="D130" t="s">
        <v>132</v>
      </c>
    </row>
    <row r="131" spans="1:4" x14ac:dyDescent="0.55000000000000004">
      <c r="A131">
        <v>5</v>
      </c>
      <c r="B131" t="s">
        <v>1436</v>
      </c>
      <c r="C131" t="str">
        <f>"S37.31"</f>
        <v>S37.31</v>
      </c>
      <c r="D131" t="s">
        <v>133</v>
      </c>
    </row>
    <row r="132" spans="1:4" x14ac:dyDescent="0.55000000000000004">
      <c r="A132">
        <v>5</v>
      </c>
      <c r="B132" t="s">
        <v>1436</v>
      </c>
      <c r="C132" t="str">
        <f>"S37.4"</f>
        <v>S37.4</v>
      </c>
      <c r="D132" t="s">
        <v>134</v>
      </c>
    </row>
    <row r="133" spans="1:4" x14ac:dyDescent="0.55000000000000004">
      <c r="A133">
        <v>5</v>
      </c>
      <c r="B133" t="s">
        <v>1436</v>
      </c>
      <c r="C133" t="str">
        <f>"S37.40"</f>
        <v>S37.40</v>
      </c>
      <c r="D133" t="s">
        <v>135</v>
      </c>
    </row>
    <row r="134" spans="1:4" x14ac:dyDescent="0.55000000000000004">
      <c r="A134">
        <v>5</v>
      </c>
      <c r="B134" t="s">
        <v>1436</v>
      </c>
      <c r="C134" t="str">
        <f>"S37.41"</f>
        <v>S37.41</v>
      </c>
      <c r="D134" t="s">
        <v>136</v>
      </c>
    </row>
    <row r="135" spans="1:4" x14ac:dyDescent="0.55000000000000004">
      <c r="A135">
        <v>5</v>
      </c>
      <c r="B135" t="s">
        <v>1436</v>
      </c>
      <c r="C135" t="str">
        <f>"S37.5"</f>
        <v>S37.5</v>
      </c>
      <c r="D135" t="s">
        <v>137</v>
      </c>
    </row>
    <row r="136" spans="1:4" x14ac:dyDescent="0.55000000000000004">
      <c r="A136">
        <v>5</v>
      </c>
      <c r="B136" t="s">
        <v>1436</v>
      </c>
      <c r="C136" t="str">
        <f>"S37.50"</f>
        <v>S37.50</v>
      </c>
      <c r="D136" t="s">
        <v>138</v>
      </c>
    </row>
    <row r="137" spans="1:4" x14ac:dyDescent="0.55000000000000004">
      <c r="A137">
        <v>5</v>
      </c>
      <c r="B137" t="s">
        <v>1436</v>
      </c>
      <c r="C137" t="str">
        <f>"S37.51"</f>
        <v>S37.51</v>
      </c>
      <c r="D137" t="s">
        <v>139</v>
      </c>
    </row>
    <row r="138" spans="1:4" x14ac:dyDescent="0.55000000000000004">
      <c r="A138">
        <v>5</v>
      </c>
      <c r="B138" t="s">
        <v>1436</v>
      </c>
      <c r="C138" t="str">
        <f>"S37.6"</f>
        <v>S37.6</v>
      </c>
      <c r="D138" t="s">
        <v>140</v>
      </c>
    </row>
    <row r="139" spans="1:4" x14ac:dyDescent="0.55000000000000004">
      <c r="A139">
        <v>5</v>
      </c>
      <c r="B139" t="s">
        <v>1436</v>
      </c>
      <c r="C139" t="str">
        <f>"S37.60"</f>
        <v>S37.60</v>
      </c>
      <c r="D139" t="s">
        <v>141</v>
      </c>
    </row>
    <row r="140" spans="1:4" x14ac:dyDescent="0.55000000000000004">
      <c r="A140">
        <v>5</v>
      </c>
      <c r="B140" t="s">
        <v>1436</v>
      </c>
      <c r="C140" t="str">
        <f>"S37.61"</f>
        <v>S37.61</v>
      </c>
      <c r="D140" t="s">
        <v>142</v>
      </c>
    </row>
    <row r="141" spans="1:4" x14ac:dyDescent="0.55000000000000004">
      <c r="A141">
        <v>5</v>
      </c>
      <c r="B141" t="s">
        <v>1436</v>
      </c>
      <c r="C141" t="str">
        <f>"S37.7"</f>
        <v>S37.7</v>
      </c>
      <c r="D141" t="s">
        <v>143</v>
      </c>
    </row>
    <row r="142" spans="1:4" x14ac:dyDescent="0.55000000000000004">
      <c r="A142">
        <v>5</v>
      </c>
      <c r="B142" t="s">
        <v>1436</v>
      </c>
      <c r="C142" t="str">
        <f>"S37.70"</f>
        <v>S37.70</v>
      </c>
      <c r="D142" t="s">
        <v>144</v>
      </c>
    </row>
    <row r="143" spans="1:4" x14ac:dyDescent="0.55000000000000004">
      <c r="A143">
        <v>5</v>
      </c>
      <c r="B143" t="s">
        <v>1436</v>
      </c>
      <c r="C143" t="str">
        <f>"S37.71"</f>
        <v>S37.71</v>
      </c>
      <c r="D143" t="s">
        <v>145</v>
      </c>
    </row>
    <row r="144" spans="1:4" x14ac:dyDescent="0.55000000000000004">
      <c r="A144">
        <v>5</v>
      </c>
      <c r="B144" t="s">
        <v>1436</v>
      </c>
      <c r="C144" t="str">
        <f>"S37.8"</f>
        <v>S37.8</v>
      </c>
      <c r="D144" t="s">
        <v>146</v>
      </c>
    </row>
    <row r="145" spans="1:4" x14ac:dyDescent="0.55000000000000004">
      <c r="A145">
        <v>5</v>
      </c>
      <c r="B145" t="s">
        <v>1436</v>
      </c>
      <c r="C145" t="str">
        <f>"S37.80"</f>
        <v>S37.80</v>
      </c>
      <c r="D145" t="s">
        <v>147</v>
      </c>
    </row>
    <row r="146" spans="1:4" x14ac:dyDescent="0.55000000000000004">
      <c r="A146">
        <v>5</v>
      </c>
      <c r="B146" t="s">
        <v>1436</v>
      </c>
      <c r="C146" t="str">
        <f>"S37.81"</f>
        <v>S37.81</v>
      </c>
      <c r="D146" t="s">
        <v>148</v>
      </c>
    </row>
    <row r="147" spans="1:4" x14ac:dyDescent="0.55000000000000004">
      <c r="A147">
        <v>6</v>
      </c>
      <c r="B147" t="s">
        <v>1437</v>
      </c>
      <c r="C147" t="str">
        <f>"S13.0"</f>
        <v>S13.0</v>
      </c>
      <c r="D147" t="s">
        <v>149</v>
      </c>
    </row>
    <row r="148" spans="1:4" x14ac:dyDescent="0.55000000000000004">
      <c r="A148">
        <v>6</v>
      </c>
      <c r="B148" t="s">
        <v>1437</v>
      </c>
      <c r="C148" t="str">
        <f>"S13.1"</f>
        <v>S13.1</v>
      </c>
      <c r="D148" t="s">
        <v>150</v>
      </c>
    </row>
    <row r="149" spans="1:4" x14ac:dyDescent="0.55000000000000004">
      <c r="A149">
        <v>6</v>
      </c>
      <c r="B149" t="s">
        <v>1437</v>
      </c>
      <c r="C149" t="str">
        <f>"S13.10"</f>
        <v>S13.10</v>
      </c>
      <c r="D149" t="s">
        <v>151</v>
      </c>
    </row>
    <row r="150" spans="1:4" x14ac:dyDescent="0.55000000000000004">
      <c r="A150">
        <v>6</v>
      </c>
      <c r="B150" t="s">
        <v>1437</v>
      </c>
      <c r="C150" t="str">
        <f>"S13.11"</f>
        <v>S13.11</v>
      </c>
      <c r="D150" t="s">
        <v>152</v>
      </c>
    </row>
    <row r="151" spans="1:4" x14ac:dyDescent="0.55000000000000004">
      <c r="A151">
        <v>6</v>
      </c>
      <c r="B151" t="s">
        <v>1437</v>
      </c>
      <c r="C151" t="str">
        <f>"S13.12"</f>
        <v>S13.12</v>
      </c>
      <c r="D151" t="s">
        <v>153</v>
      </c>
    </row>
    <row r="152" spans="1:4" x14ac:dyDescent="0.55000000000000004">
      <c r="A152">
        <v>6</v>
      </c>
      <c r="B152" t="s">
        <v>1437</v>
      </c>
      <c r="C152" t="str">
        <f>"S13.13"</f>
        <v>S13.13</v>
      </c>
      <c r="D152" t="s">
        <v>154</v>
      </c>
    </row>
    <row r="153" spans="1:4" x14ac:dyDescent="0.55000000000000004">
      <c r="A153">
        <v>6</v>
      </c>
      <c r="B153" t="s">
        <v>1437</v>
      </c>
      <c r="C153" t="str">
        <f>"S13.14"</f>
        <v>S13.14</v>
      </c>
      <c r="D153" t="s">
        <v>155</v>
      </c>
    </row>
    <row r="154" spans="1:4" x14ac:dyDescent="0.55000000000000004">
      <c r="A154">
        <v>6</v>
      </c>
      <c r="B154" t="s">
        <v>1437</v>
      </c>
      <c r="C154" t="str">
        <f>"S13.15"</f>
        <v>S13.15</v>
      </c>
      <c r="D154" t="s">
        <v>156</v>
      </c>
    </row>
    <row r="155" spans="1:4" x14ac:dyDescent="0.55000000000000004">
      <c r="A155">
        <v>6</v>
      </c>
      <c r="B155" t="s">
        <v>1437</v>
      </c>
      <c r="C155" t="str">
        <f>"S13.16"</f>
        <v>S13.16</v>
      </c>
      <c r="D155" t="s">
        <v>157</v>
      </c>
    </row>
    <row r="156" spans="1:4" x14ac:dyDescent="0.55000000000000004">
      <c r="A156">
        <v>6</v>
      </c>
      <c r="B156" t="s">
        <v>1437</v>
      </c>
      <c r="C156" t="str">
        <f>"S13.18"</f>
        <v>S13.18</v>
      </c>
      <c r="D156" t="s">
        <v>158</v>
      </c>
    </row>
    <row r="157" spans="1:4" x14ac:dyDescent="0.55000000000000004">
      <c r="A157">
        <v>6</v>
      </c>
      <c r="B157" t="s">
        <v>1437</v>
      </c>
      <c r="C157" t="str">
        <f>"S13.19"</f>
        <v>S13.19</v>
      </c>
      <c r="D157" t="s">
        <v>159</v>
      </c>
    </row>
    <row r="158" spans="1:4" x14ac:dyDescent="0.55000000000000004">
      <c r="A158">
        <v>6</v>
      </c>
      <c r="B158" t="s">
        <v>1437</v>
      </c>
      <c r="C158" t="str">
        <f>"S13.2"</f>
        <v>S13.2</v>
      </c>
      <c r="D158" t="s">
        <v>160</v>
      </c>
    </row>
    <row r="159" spans="1:4" x14ac:dyDescent="0.55000000000000004">
      <c r="A159">
        <v>6</v>
      </c>
      <c r="B159" t="s">
        <v>1437</v>
      </c>
      <c r="C159" t="str">
        <f>"S13.3"</f>
        <v>S13.3</v>
      </c>
      <c r="D159" t="s">
        <v>161</v>
      </c>
    </row>
    <row r="160" spans="1:4" x14ac:dyDescent="0.55000000000000004">
      <c r="A160">
        <v>6</v>
      </c>
      <c r="B160" t="s">
        <v>1437</v>
      </c>
      <c r="C160" t="str">
        <f>"S14.0"</f>
        <v>S14.0</v>
      </c>
      <c r="D160" t="s">
        <v>162</v>
      </c>
    </row>
    <row r="161" spans="1:4" x14ac:dyDescent="0.55000000000000004">
      <c r="A161">
        <v>6</v>
      </c>
      <c r="B161" t="s">
        <v>1437</v>
      </c>
      <c r="C161" t="str">
        <f>"S14.1"</f>
        <v>S14.1</v>
      </c>
      <c r="D161" t="s">
        <v>163</v>
      </c>
    </row>
    <row r="162" spans="1:4" x14ac:dyDescent="0.55000000000000004">
      <c r="A162">
        <v>6</v>
      </c>
      <c r="B162" t="s">
        <v>1437</v>
      </c>
      <c r="C162" t="str">
        <f>"S24.0"</f>
        <v>S24.0</v>
      </c>
      <c r="D162" t="s">
        <v>164</v>
      </c>
    </row>
    <row r="163" spans="1:4" x14ac:dyDescent="0.55000000000000004">
      <c r="A163">
        <v>6</v>
      </c>
      <c r="B163" t="s">
        <v>1437</v>
      </c>
      <c r="C163" t="str">
        <f>"S24.1"</f>
        <v>S24.1</v>
      </c>
      <c r="D163" t="s">
        <v>165</v>
      </c>
    </row>
    <row r="164" spans="1:4" x14ac:dyDescent="0.55000000000000004">
      <c r="A164">
        <v>6</v>
      </c>
      <c r="B164" t="s">
        <v>1437</v>
      </c>
      <c r="C164" t="str">
        <f>"S24.3"</f>
        <v>S24.3</v>
      </c>
      <c r="D164" t="s">
        <v>166</v>
      </c>
    </row>
    <row r="165" spans="1:4" x14ac:dyDescent="0.55000000000000004">
      <c r="A165">
        <v>6</v>
      </c>
      <c r="B165" t="s">
        <v>1437</v>
      </c>
      <c r="C165" t="str">
        <f>"S24.5"</f>
        <v>S24.5</v>
      </c>
      <c r="D165" t="s">
        <v>167</v>
      </c>
    </row>
    <row r="166" spans="1:4" x14ac:dyDescent="0.55000000000000004">
      <c r="A166">
        <v>6</v>
      </c>
      <c r="B166" t="s">
        <v>1437</v>
      </c>
      <c r="C166" t="str">
        <f>"S32.1"</f>
        <v>S32.1</v>
      </c>
      <c r="D166" t="s">
        <v>168</v>
      </c>
    </row>
    <row r="167" spans="1:4" x14ac:dyDescent="0.55000000000000004">
      <c r="A167">
        <v>6</v>
      </c>
      <c r="B167" t="s">
        <v>1437</v>
      </c>
      <c r="C167" t="str">
        <f>"S32.10"</f>
        <v>S32.10</v>
      </c>
      <c r="D167" t="s">
        <v>169</v>
      </c>
    </row>
    <row r="168" spans="1:4" x14ac:dyDescent="0.55000000000000004">
      <c r="A168">
        <v>6</v>
      </c>
      <c r="B168" t="s">
        <v>1437</v>
      </c>
      <c r="C168" t="str">
        <f>"S32.11"</f>
        <v>S32.11</v>
      </c>
      <c r="D168" t="s">
        <v>170</v>
      </c>
    </row>
    <row r="169" spans="1:4" x14ac:dyDescent="0.55000000000000004">
      <c r="A169">
        <v>6</v>
      </c>
      <c r="B169" t="s">
        <v>1437</v>
      </c>
      <c r="C169" t="str">
        <f>"S32.3"</f>
        <v>S32.3</v>
      </c>
      <c r="D169" t="s">
        <v>171</v>
      </c>
    </row>
    <row r="170" spans="1:4" x14ac:dyDescent="0.55000000000000004">
      <c r="A170">
        <v>6</v>
      </c>
      <c r="B170" t="s">
        <v>1437</v>
      </c>
      <c r="C170" t="str">
        <f>"S32.30"</f>
        <v>S32.30</v>
      </c>
      <c r="D170" t="s">
        <v>172</v>
      </c>
    </row>
    <row r="171" spans="1:4" x14ac:dyDescent="0.55000000000000004">
      <c r="A171">
        <v>6</v>
      </c>
      <c r="B171" t="s">
        <v>1437</v>
      </c>
      <c r="C171" t="str">
        <f>"S32.31"</f>
        <v>S32.31</v>
      </c>
      <c r="D171" t="s">
        <v>173</v>
      </c>
    </row>
    <row r="172" spans="1:4" x14ac:dyDescent="0.55000000000000004">
      <c r="A172">
        <v>6</v>
      </c>
      <c r="B172" t="s">
        <v>1437</v>
      </c>
      <c r="C172" t="str">
        <f>"S32.4"</f>
        <v>S32.4</v>
      </c>
      <c r="D172" t="s">
        <v>174</v>
      </c>
    </row>
    <row r="173" spans="1:4" x14ac:dyDescent="0.55000000000000004">
      <c r="A173">
        <v>6</v>
      </c>
      <c r="B173" t="s">
        <v>1437</v>
      </c>
      <c r="C173" t="str">
        <f>"S32.40"</f>
        <v>S32.40</v>
      </c>
      <c r="D173" t="s">
        <v>175</v>
      </c>
    </row>
    <row r="174" spans="1:4" x14ac:dyDescent="0.55000000000000004">
      <c r="A174">
        <v>6</v>
      </c>
      <c r="B174" t="s">
        <v>1437</v>
      </c>
      <c r="C174" t="str">
        <f>"S32.41"</f>
        <v>S32.41</v>
      </c>
      <c r="D174" t="s">
        <v>176</v>
      </c>
    </row>
    <row r="175" spans="1:4" x14ac:dyDescent="0.55000000000000004">
      <c r="A175">
        <v>6</v>
      </c>
      <c r="B175" t="s">
        <v>1437</v>
      </c>
      <c r="C175" t="str">
        <f>"S32.5"</f>
        <v>S32.5</v>
      </c>
      <c r="D175" t="s">
        <v>177</v>
      </c>
    </row>
    <row r="176" spans="1:4" x14ac:dyDescent="0.55000000000000004">
      <c r="A176">
        <v>6</v>
      </c>
      <c r="B176" t="s">
        <v>1437</v>
      </c>
      <c r="C176" t="str">
        <f>"S32.50"</f>
        <v>S32.50</v>
      </c>
      <c r="D176" t="s">
        <v>178</v>
      </c>
    </row>
    <row r="177" spans="1:4" x14ac:dyDescent="0.55000000000000004">
      <c r="A177">
        <v>6</v>
      </c>
      <c r="B177" t="s">
        <v>1437</v>
      </c>
      <c r="C177" t="str">
        <f>"S32.51"</f>
        <v>S32.51</v>
      </c>
      <c r="D177" t="s">
        <v>179</v>
      </c>
    </row>
    <row r="178" spans="1:4" x14ac:dyDescent="0.55000000000000004">
      <c r="A178">
        <v>6</v>
      </c>
      <c r="B178" t="s">
        <v>1437</v>
      </c>
      <c r="C178" t="str">
        <f>"S32.601"</f>
        <v>S32.601</v>
      </c>
      <c r="D178" t="s">
        <v>180</v>
      </c>
    </row>
    <row r="179" spans="1:4" x14ac:dyDescent="0.55000000000000004">
      <c r="A179">
        <v>6</v>
      </c>
      <c r="B179" t="s">
        <v>1437</v>
      </c>
      <c r="C179" t="str">
        <f>"S32.611"</f>
        <v>S32.611</v>
      </c>
      <c r="D179" t="s">
        <v>181</v>
      </c>
    </row>
    <row r="180" spans="1:4" x14ac:dyDescent="0.55000000000000004">
      <c r="A180">
        <v>6</v>
      </c>
      <c r="B180" t="s">
        <v>1437</v>
      </c>
      <c r="C180" t="str">
        <f>"S32.621"</f>
        <v>S32.621</v>
      </c>
      <c r="D180" t="s">
        <v>182</v>
      </c>
    </row>
    <row r="181" spans="1:4" x14ac:dyDescent="0.55000000000000004">
      <c r="A181">
        <v>6</v>
      </c>
      <c r="B181" t="s">
        <v>1437</v>
      </c>
      <c r="C181" t="str">
        <f>"S32.681"</f>
        <v>S32.681</v>
      </c>
      <c r="D181" t="s">
        <v>183</v>
      </c>
    </row>
    <row r="182" spans="1:4" x14ac:dyDescent="0.55000000000000004">
      <c r="A182">
        <v>6</v>
      </c>
      <c r="B182" t="s">
        <v>1437</v>
      </c>
      <c r="C182" t="str">
        <f>"S32.691"</f>
        <v>S32.691</v>
      </c>
      <c r="D182" t="s">
        <v>184</v>
      </c>
    </row>
    <row r="183" spans="1:4" x14ac:dyDescent="0.55000000000000004">
      <c r="A183">
        <v>6</v>
      </c>
      <c r="B183" t="s">
        <v>1437</v>
      </c>
      <c r="C183" t="str">
        <f>"S32.71"</f>
        <v>S32.71</v>
      </c>
      <c r="D183" t="s">
        <v>185</v>
      </c>
    </row>
    <row r="184" spans="1:4" x14ac:dyDescent="0.55000000000000004">
      <c r="A184">
        <v>6</v>
      </c>
      <c r="B184" t="s">
        <v>1437</v>
      </c>
      <c r="C184" t="str">
        <f>"S32.81"</f>
        <v>S32.81</v>
      </c>
      <c r="D184" t="s">
        <v>186</v>
      </c>
    </row>
    <row r="185" spans="1:4" x14ac:dyDescent="0.55000000000000004">
      <c r="A185">
        <v>6</v>
      </c>
      <c r="B185" t="s">
        <v>1437</v>
      </c>
      <c r="C185" t="str">
        <f>"S34.0"</f>
        <v>S34.0</v>
      </c>
      <c r="D185" t="s">
        <v>187</v>
      </c>
    </row>
    <row r="186" spans="1:4" x14ac:dyDescent="0.55000000000000004">
      <c r="A186">
        <v>6</v>
      </c>
      <c r="B186" t="s">
        <v>1437</v>
      </c>
      <c r="C186" t="str">
        <f>"S34.1"</f>
        <v>S34.1</v>
      </c>
      <c r="D186" t="s">
        <v>188</v>
      </c>
    </row>
    <row r="187" spans="1:4" x14ac:dyDescent="0.55000000000000004">
      <c r="A187">
        <v>6</v>
      </c>
      <c r="B187" t="s">
        <v>1437</v>
      </c>
      <c r="C187" t="str">
        <f>"S34.3"</f>
        <v>S34.3</v>
      </c>
      <c r="D187" t="s">
        <v>189</v>
      </c>
    </row>
    <row r="188" spans="1:4" x14ac:dyDescent="0.55000000000000004">
      <c r="A188">
        <v>6</v>
      </c>
      <c r="B188" t="s">
        <v>1437</v>
      </c>
      <c r="C188" t="str">
        <f>"S34.4"</f>
        <v>S34.4</v>
      </c>
      <c r="D188" t="s">
        <v>190</v>
      </c>
    </row>
    <row r="189" spans="1:4" x14ac:dyDescent="0.55000000000000004">
      <c r="A189">
        <v>6</v>
      </c>
      <c r="B189" t="s">
        <v>1437</v>
      </c>
      <c r="C189" t="str">
        <f>"S34.6"</f>
        <v>S34.6</v>
      </c>
      <c r="D189" t="s">
        <v>191</v>
      </c>
    </row>
    <row r="190" spans="1:4" x14ac:dyDescent="0.55000000000000004">
      <c r="A190">
        <v>6</v>
      </c>
      <c r="B190" t="s">
        <v>1437</v>
      </c>
      <c r="C190" t="str">
        <f>"S34.8"</f>
        <v>S34.8</v>
      </c>
      <c r="D190" t="s">
        <v>192</v>
      </c>
    </row>
    <row r="191" spans="1:4" x14ac:dyDescent="0.55000000000000004">
      <c r="A191">
        <v>6</v>
      </c>
      <c r="B191" t="s">
        <v>1437</v>
      </c>
      <c r="C191" t="str">
        <f>"T02.11"</f>
        <v>T02.11</v>
      </c>
      <c r="D191" t="s">
        <v>193</v>
      </c>
    </row>
    <row r="192" spans="1:4" x14ac:dyDescent="0.55000000000000004">
      <c r="A192">
        <v>6</v>
      </c>
      <c r="B192" t="s">
        <v>1437</v>
      </c>
      <c r="C192" t="str">
        <f>"T06.1"</f>
        <v>T06.1</v>
      </c>
      <c r="D192" t="s">
        <v>194</v>
      </c>
    </row>
    <row r="193" spans="1:4" x14ac:dyDescent="0.55000000000000004">
      <c r="A193">
        <v>6</v>
      </c>
      <c r="B193" t="s">
        <v>1437</v>
      </c>
      <c r="C193" t="str">
        <f>"T09.3"</f>
        <v>T09.3</v>
      </c>
      <c r="D193" t="s">
        <v>195</v>
      </c>
    </row>
    <row r="194" spans="1:4" x14ac:dyDescent="0.55000000000000004">
      <c r="A194">
        <v>7</v>
      </c>
      <c r="B194" t="s">
        <v>1438</v>
      </c>
      <c r="C194" t="str">
        <f>"S14.3"</f>
        <v>S14.3</v>
      </c>
      <c r="D194" t="s">
        <v>196</v>
      </c>
    </row>
    <row r="195" spans="1:4" x14ac:dyDescent="0.55000000000000004">
      <c r="A195">
        <v>7</v>
      </c>
      <c r="B195" t="s">
        <v>1438</v>
      </c>
      <c r="C195" t="str">
        <f>"S42.201"</f>
        <v>S42.201</v>
      </c>
      <c r="D195" t="s">
        <v>197</v>
      </c>
    </row>
    <row r="196" spans="1:4" x14ac:dyDescent="0.55000000000000004">
      <c r="A196">
        <v>7</v>
      </c>
      <c r="B196" t="s">
        <v>1438</v>
      </c>
      <c r="C196" t="str">
        <f>"S42.21"</f>
        <v>S42.21</v>
      </c>
      <c r="D196" t="s">
        <v>198</v>
      </c>
    </row>
    <row r="197" spans="1:4" x14ac:dyDescent="0.55000000000000004">
      <c r="A197">
        <v>7</v>
      </c>
      <c r="B197" t="s">
        <v>1438</v>
      </c>
      <c r="C197" t="str">
        <f>"S42.211"</f>
        <v>S42.211</v>
      </c>
      <c r="D197" t="s">
        <v>199</v>
      </c>
    </row>
    <row r="198" spans="1:4" x14ac:dyDescent="0.55000000000000004">
      <c r="A198">
        <v>7</v>
      </c>
      <c r="B198" t="s">
        <v>1438</v>
      </c>
      <c r="C198" t="str">
        <f>"S42.221"</f>
        <v>S42.221</v>
      </c>
      <c r="D198" t="s">
        <v>200</v>
      </c>
    </row>
    <row r="199" spans="1:4" x14ac:dyDescent="0.55000000000000004">
      <c r="A199">
        <v>7</v>
      </c>
      <c r="B199" t="s">
        <v>1438</v>
      </c>
      <c r="C199" t="str">
        <f>"S42.231"</f>
        <v>S42.231</v>
      </c>
      <c r="D199" t="s">
        <v>201</v>
      </c>
    </row>
    <row r="200" spans="1:4" x14ac:dyDescent="0.55000000000000004">
      <c r="A200">
        <v>7</v>
      </c>
      <c r="B200" t="s">
        <v>1438</v>
      </c>
      <c r="C200" t="str">
        <f>"S42.241"</f>
        <v>S42.241</v>
      </c>
      <c r="D200" t="s">
        <v>202</v>
      </c>
    </row>
    <row r="201" spans="1:4" x14ac:dyDescent="0.55000000000000004">
      <c r="A201">
        <v>7</v>
      </c>
      <c r="B201" t="s">
        <v>1438</v>
      </c>
      <c r="C201" t="str">
        <f>"S42.251"</f>
        <v>S42.251</v>
      </c>
      <c r="D201" t="s">
        <v>203</v>
      </c>
    </row>
    <row r="202" spans="1:4" x14ac:dyDescent="0.55000000000000004">
      <c r="A202">
        <v>7</v>
      </c>
      <c r="B202" t="s">
        <v>1438</v>
      </c>
      <c r="C202" t="str">
        <f>"S42.281"</f>
        <v>S42.281</v>
      </c>
      <c r="D202" t="s">
        <v>204</v>
      </c>
    </row>
    <row r="203" spans="1:4" x14ac:dyDescent="0.55000000000000004">
      <c r="A203">
        <v>7</v>
      </c>
      <c r="B203" t="s">
        <v>1438</v>
      </c>
      <c r="C203" t="str">
        <f>"S42.291"</f>
        <v>S42.291</v>
      </c>
      <c r="D203" t="s">
        <v>205</v>
      </c>
    </row>
    <row r="204" spans="1:4" x14ac:dyDescent="0.55000000000000004">
      <c r="A204">
        <v>7</v>
      </c>
      <c r="B204" t="s">
        <v>1438</v>
      </c>
      <c r="C204" t="str">
        <f>"S42.301"</f>
        <v>S42.301</v>
      </c>
      <c r="D204" t="s">
        <v>206</v>
      </c>
    </row>
    <row r="205" spans="1:4" x14ac:dyDescent="0.55000000000000004">
      <c r="A205">
        <v>7</v>
      </c>
      <c r="B205" t="s">
        <v>1438</v>
      </c>
      <c r="C205" t="str">
        <f>"S42.31"</f>
        <v>S42.31</v>
      </c>
      <c r="D205" t="s">
        <v>207</v>
      </c>
    </row>
    <row r="206" spans="1:4" x14ac:dyDescent="0.55000000000000004">
      <c r="A206">
        <v>7</v>
      </c>
      <c r="B206" t="s">
        <v>1438</v>
      </c>
      <c r="C206" t="str">
        <f>"S42.311"</f>
        <v>S42.311</v>
      </c>
      <c r="D206" t="s">
        <v>208</v>
      </c>
    </row>
    <row r="207" spans="1:4" x14ac:dyDescent="0.55000000000000004">
      <c r="A207">
        <v>7</v>
      </c>
      <c r="B207" t="s">
        <v>1438</v>
      </c>
      <c r="C207" t="str">
        <f>"S42.321"</f>
        <v>S42.321</v>
      </c>
      <c r="D207" t="s">
        <v>209</v>
      </c>
    </row>
    <row r="208" spans="1:4" x14ac:dyDescent="0.55000000000000004">
      <c r="A208">
        <v>7</v>
      </c>
      <c r="B208" t="s">
        <v>1438</v>
      </c>
      <c r="C208" t="str">
        <f>"S42.371"</f>
        <v>S42.371</v>
      </c>
      <c r="D208" t="s">
        <v>210</v>
      </c>
    </row>
    <row r="209" spans="1:4" x14ac:dyDescent="0.55000000000000004">
      <c r="A209">
        <v>7</v>
      </c>
      <c r="B209" t="s">
        <v>1438</v>
      </c>
      <c r="C209" t="str">
        <f>"S42.391"</f>
        <v>S42.391</v>
      </c>
      <c r="D209" t="s">
        <v>211</v>
      </c>
    </row>
    <row r="210" spans="1:4" x14ac:dyDescent="0.55000000000000004">
      <c r="A210">
        <v>7</v>
      </c>
      <c r="B210" t="s">
        <v>1438</v>
      </c>
      <c r="C210" t="str">
        <f>"S42.401"</f>
        <v>S42.401</v>
      </c>
      <c r="D210" t="s">
        <v>212</v>
      </c>
    </row>
    <row r="211" spans="1:4" x14ac:dyDescent="0.55000000000000004">
      <c r="A211">
        <v>7</v>
      </c>
      <c r="B211" t="s">
        <v>1438</v>
      </c>
      <c r="C211" t="str">
        <f>"S42.41"</f>
        <v>S42.41</v>
      </c>
      <c r="D211" t="s">
        <v>213</v>
      </c>
    </row>
    <row r="212" spans="1:4" x14ac:dyDescent="0.55000000000000004">
      <c r="A212">
        <v>7</v>
      </c>
      <c r="B212" t="s">
        <v>1438</v>
      </c>
      <c r="C212" t="str">
        <f>"S42.411"</f>
        <v>S42.411</v>
      </c>
      <c r="D212" t="s">
        <v>214</v>
      </c>
    </row>
    <row r="213" spans="1:4" x14ac:dyDescent="0.55000000000000004">
      <c r="A213">
        <v>7</v>
      </c>
      <c r="B213" t="s">
        <v>1438</v>
      </c>
      <c r="C213" t="str">
        <f>"S42.421"</f>
        <v>S42.421</v>
      </c>
      <c r="D213" t="s">
        <v>215</v>
      </c>
    </row>
    <row r="214" spans="1:4" x14ac:dyDescent="0.55000000000000004">
      <c r="A214">
        <v>7</v>
      </c>
      <c r="B214" t="s">
        <v>1438</v>
      </c>
      <c r="C214" t="str">
        <f>"S42.431"</f>
        <v>S42.431</v>
      </c>
      <c r="D214" t="s">
        <v>216</v>
      </c>
    </row>
    <row r="215" spans="1:4" x14ac:dyDescent="0.55000000000000004">
      <c r="A215">
        <v>7</v>
      </c>
      <c r="B215" t="s">
        <v>1438</v>
      </c>
      <c r="C215" t="str">
        <f>"S42.441"</f>
        <v>S42.441</v>
      </c>
      <c r="D215" t="s">
        <v>217</v>
      </c>
    </row>
    <row r="216" spans="1:4" x14ac:dyDescent="0.55000000000000004">
      <c r="A216">
        <v>7</v>
      </c>
      <c r="B216" t="s">
        <v>1438</v>
      </c>
      <c r="C216" t="str">
        <f>"S42.451"</f>
        <v>S42.451</v>
      </c>
      <c r="D216" t="s">
        <v>218</v>
      </c>
    </row>
    <row r="217" spans="1:4" x14ac:dyDescent="0.55000000000000004">
      <c r="A217">
        <v>7</v>
      </c>
      <c r="B217" t="s">
        <v>1438</v>
      </c>
      <c r="C217" t="str">
        <f>"S42.461"</f>
        <v>S42.461</v>
      </c>
      <c r="D217" t="s">
        <v>219</v>
      </c>
    </row>
    <row r="218" spans="1:4" x14ac:dyDescent="0.55000000000000004">
      <c r="A218">
        <v>7</v>
      </c>
      <c r="B218" t="s">
        <v>1438</v>
      </c>
      <c r="C218" t="str">
        <f>"S42.471"</f>
        <v>S42.471</v>
      </c>
      <c r="D218" t="s">
        <v>220</v>
      </c>
    </row>
    <row r="219" spans="1:4" x14ac:dyDescent="0.55000000000000004">
      <c r="A219">
        <v>7</v>
      </c>
      <c r="B219" t="s">
        <v>1438</v>
      </c>
      <c r="C219" t="str">
        <f>"S42.481"</f>
        <v>S42.481</v>
      </c>
      <c r="D219" t="s">
        <v>221</v>
      </c>
    </row>
    <row r="220" spans="1:4" x14ac:dyDescent="0.55000000000000004">
      <c r="A220">
        <v>7</v>
      </c>
      <c r="B220" t="s">
        <v>1438</v>
      </c>
      <c r="C220" t="str">
        <f>"S42.491"</f>
        <v>S42.491</v>
      </c>
      <c r="D220" t="s">
        <v>222</v>
      </c>
    </row>
    <row r="221" spans="1:4" x14ac:dyDescent="0.55000000000000004">
      <c r="A221">
        <v>7</v>
      </c>
      <c r="B221" t="s">
        <v>1438</v>
      </c>
      <c r="C221" t="str">
        <f>"S42.71"</f>
        <v>S42.71</v>
      </c>
      <c r="D221" t="s">
        <v>223</v>
      </c>
    </row>
    <row r="222" spans="1:4" x14ac:dyDescent="0.55000000000000004">
      <c r="A222">
        <v>7</v>
      </c>
      <c r="B222" t="s">
        <v>1438</v>
      </c>
      <c r="C222" t="str">
        <f>"S42.81"</f>
        <v>S42.81</v>
      </c>
      <c r="D222" t="s">
        <v>224</v>
      </c>
    </row>
    <row r="223" spans="1:4" x14ac:dyDescent="0.55000000000000004">
      <c r="A223">
        <v>7</v>
      </c>
      <c r="B223" t="s">
        <v>1438</v>
      </c>
      <c r="C223" t="str">
        <f>"S42.91"</f>
        <v>S42.91</v>
      </c>
      <c r="D223" t="s">
        <v>225</v>
      </c>
    </row>
    <row r="224" spans="1:4" x14ac:dyDescent="0.55000000000000004">
      <c r="A224">
        <v>7</v>
      </c>
      <c r="B224" t="s">
        <v>1438</v>
      </c>
      <c r="C224" t="str">
        <f>"S44.0"</f>
        <v>S44.0</v>
      </c>
      <c r="D224" t="s">
        <v>226</v>
      </c>
    </row>
    <row r="225" spans="1:4" x14ac:dyDescent="0.55000000000000004">
      <c r="A225">
        <v>7</v>
      </c>
      <c r="B225" t="s">
        <v>1438</v>
      </c>
      <c r="C225" t="str">
        <f>"S44.1"</f>
        <v>S44.1</v>
      </c>
      <c r="D225" t="s">
        <v>227</v>
      </c>
    </row>
    <row r="226" spans="1:4" x14ac:dyDescent="0.55000000000000004">
      <c r="A226">
        <v>7</v>
      </c>
      <c r="B226" t="s">
        <v>1438</v>
      </c>
      <c r="C226" t="str">
        <f>"S44.2"</f>
        <v>S44.2</v>
      </c>
      <c r="D226" t="s">
        <v>228</v>
      </c>
    </row>
    <row r="227" spans="1:4" x14ac:dyDescent="0.55000000000000004">
      <c r="A227">
        <v>7</v>
      </c>
      <c r="B227" t="s">
        <v>1438</v>
      </c>
      <c r="C227" t="str">
        <f>"S44.3"</f>
        <v>S44.3</v>
      </c>
      <c r="D227" t="s">
        <v>229</v>
      </c>
    </row>
    <row r="228" spans="1:4" x14ac:dyDescent="0.55000000000000004">
      <c r="A228">
        <v>7</v>
      </c>
      <c r="B228" t="s">
        <v>1438</v>
      </c>
      <c r="C228" t="str">
        <f>"S45.0"</f>
        <v>S45.0</v>
      </c>
      <c r="D228" t="s">
        <v>230</v>
      </c>
    </row>
    <row r="229" spans="1:4" x14ac:dyDescent="0.55000000000000004">
      <c r="A229">
        <v>7</v>
      </c>
      <c r="B229" t="s">
        <v>1438</v>
      </c>
      <c r="C229" t="str">
        <f>"S45.1"</f>
        <v>S45.1</v>
      </c>
      <c r="D229" t="s">
        <v>231</v>
      </c>
    </row>
    <row r="230" spans="1:4" x14ac:dyDescent="0.55000000000000004">
      <c r="A230">
        <v>7</v>
      </c>
      <c r="B230" t="s">
        <v>1438</v>
      </c>
      <c r="C230" t="str">
        <f>"S45.2"</f>
        <v>S45.2</v>
      </c>
      <c r="D230" t="s">
        <v>232</v>
      </c>
    </row>
    <row r="231" spans="1:4" x14ac:dyDescent="0.55000000000000004">
      <c r="A231">
        <v>7</v>
      </c>
      <c r="B231" t="s">
        <v>1438</v>
      </c>
      <c r="C231" t="str">
        <f>"S48.0"</f>
        <v>S48.0</v>
      </c>
      <c r="D231" t="s">
        <v>233</v>
      </c>
    </row>
    <row r="232" spans="1:4" x14ac:dyDescent="0.55000000000000004">
      <c r="A232">
        <v>7</v>
      </c>
      <c r="B232" t="s">
        <v>1438</v>
      </c>
      <c r="C232" t="str">
        <f>"S48.1"</f>
        <v>S48.1</v>
      </c>
      <c r="D232" t="s">
        <v>234</v>
      </c>
    </row>
    <row r="233" spans="1:4" x14ac:dyDescent="0.55000000000000004">
      <c r="A233">
        <v>7</v>
      </c>
      <c r="B233" t="s">
        <v>1438</v>
      </c>
      <c r="C233" t="str">
        <f>"S48.9"</f>
        <v>S48.9</v>
      </c>
      <c r="D233" t="s">
        <v>235</v>
      </c>
    </row>
    <row r="234" spans="1:4" x14ac:dyDescent="0.55000000000000004">
      <c r="A234">
        <v>7</v>
      </c>
      <c r="B234" t="s">
        <v>1438</v>
      </c>
      <c r="C234" t="str">
        <f>"S52.001"</f>
        <v>S52.001</v>
      </c>
      <c r="D234" t="s">
        <v>236</v>
      </c>
    </row>
    <row r="235" spans="1:4" x14ac:dyDescent="0.55000000000000004">
      <c r="A235">
        <v>7</v>
      </c>
      <c r="B235" t="s">
        <v>1438</v>
      </c>
      <c r="C235" t="str">
        <f>"S52.01"</f>
        <v>S52.01</v>
      </c>
      <c r="D235" t="s">
        <v>237</v>
      </c>
    </row>
    <row r="236" spans="1:4" x14ac:dyDescent="0.55000000000000004">
      <c r="A236">
        <v>7</v>
      </c>
      <c r="B236" t="s">
        <v>1438</v>
      </c>
      <c r="C236" t="str">
        <f>"S52.011"</f>
        <v>S52.011</v>
      </c>
      <c r="D236" t="s">
        <v>238</v>
      </c>
    </row>
    <row r="237" spans="1:4" x14ac:dyDescent="0.55000000000000004">
      <c r="A237">
        <v>7</v>
      </c>
      <c r="B237" t="s">
        <v>1438</v>
      </c>
      <c r="C237" t="str">
        <f>"S52.021"</f>
        <v>S52.021</v>
      </c>
      <c r="D237" t="s">
        <v>239</v>
      </c>
    </row>
    <row r="238" spans="1:4" x14ac:dyDescent="0.55000000000000004">
      <c r="A238">
        <v>7</v>
      </c>
      <c r="B238" t="s">
        <v>1438</v>
      </c>
      <c r="C238" t="str">
        <f>"S52.031"</f>
        <v>S52.031</v>
      </c>
      <c r="D238" t="s">
        <v>240</v>
      </c>
    </row>
    <row r="239" spans="1:4" x14ac:dyDescent="0.55000000000000004">
      <c r="A239">
        <v>7</v>
      </c>
      <c r="B239" t="s">
        <v>1438</v>
      </c>
      <c r="C239" t="str">
        <f>"S52.071"</f>
        <v>S52.071</v>
      </c>
      <c r="D239" t="s">
        <v>241</v>
      </c>
    </row>
    <row r="240" spans="1:4" x14ac:dyDescent="0.55000000000000004">
      <c r="A240">
        <v>7</v>
      </c>
      <c r="B240" t="s">
        <v>1438</v>
      </c>
      <c r="C240" t="str">
        <f>"S52.081"</f>
        <v>S52.081</v>
      </c>
      <c r="D240" t="s">
        <v>242</v>
      </c>
    </row>
    <row r="241" spans="1:4" x14ac:dyDescent="0.55000000000000004">
      <c r="A241">
        <v>7</v>
      </c>
      <c r="B241" t="s">
        <v>1438</v>
      </c>
      <c r="C241" t="str">
        <f>"S52.091"</f>
        <v>S52.091</v>
      </c>
      <c r="D241" t="s">
        <v>243</v>
      </c>
    </row>
    <row r="242" spans="1:4" x14ac:dyDescent="0.55000000000000004">
      <c r="A242">
        <v>7</v>
      </c>
      <c r="B242" t="s">
        <v>1438</v>
      </c>
      <c r="C242" t="str">
        <f>"S52.101"</f>
        <v>S52.101</v>
      </c>
      <c r="D242" t="s">
        <v>244</v>
      </c>
    </row>
    <row r="243" spans="1:4" x14ac:dyDescent="0.55000000000000004">
      <c r="A243">
        <v>7</v>
      </c>
      <c r="B243" t="s">
        <v>1438</v>
      </c>
      <c r="C243" t="str">
        <f>"S52.11"</f>
        <v>S52.11</v>
      </c>
      <c r="D243" t="s">
        <v>245</v>
      </c>
    </row>
    <row r="244" spans="1:4" x14ac:dyDescent="0.55000000000000004">
      <c r="A244">
        <v>7</v>
      </c>
      <c r="B244" t="s">
        <v>1438</v>
      </c>
      <c r="C244" t="str">
        <f>"S52.111"</f>
        <v>S52.111</v>
      </c>
      <c r="D244" t="s">
        <v>246</v>
      </c>
    </row>
    <row r="245" spans="1:4" x14ac:dyDescent="0.55000000000000004">
      <c r="A245">
        <v>7</v>
      </c>
      <c r="B245" t="s">
        <v>1438</v>
      </c>
      <c r="C245" t="str">
        <f>"S52.121"</f>
        <v>S52.121</v>
      </c>
      <c r="D245" t="s">
        <v>247</v>
      </c>
    </row>
    <row r="246" spans="1:4" x14ac:dyDescent="0.55000000000000004">
      <c r="A246">
        <v>7</v>
      </c>
      <c r="B246" t="s">
        <v>1438</v>
      </c>
      <c r="C246" t="str">
        <f>"S52.171"</f>
        <v>S52.171</v>
      </c>
      <c r="D246" t="s">
        <v>248</v>
      </c>
    </row>
    <row r="247" spans="1:4" x14ac:dyDescent="0.55000000000000004">
      <c r="A247">
        <v>7</v>
      </c>
      <c r="B247" t="s">
        <v>1438</v>
      </c>
      <c r="C247" t="str">
        <f>"S52.181"</f>
        <v>S52.181</v>
      </c>
      <c r="D247" t="s">
        <v>249</v>
      </c>
    </row>
    <row r="248" spans="1:4" x14ac:dyDescent="0.55000000000000004">
      <c r="A248">
        <v>7</v>
      </c>
      <c r="B248" t="s">
        <v>1438</v>
      </c>
      <c r="C248" t="str">
        <f>"S52.191"</f>
        <v>S52.191</v>
      </c>
      <c r="D248" t="s">
        <v>250</v>
      </c>
    </row>
    <row r="249" spans="1:4" x14ac:dyDescent="0.55000000000000004">
      <c r="A249">
        <v>7</v>
      </c>
      <c r="B249" t="s">
        <v>1438</v>
      </c>
      <c r="C249" t="str">
        <f>"S52.201"</f>
        <v>S52.201</v>
      </c>
      <c r="D249" t="s">
        <v>251</v>
      </c>
    </row>
    <row r="250" spans="1:4" x14ac:dyDescent="0.55000000000000004">
      <c r="A250">
        <v>7</v>
      </c>
      <c r="B250" t="s">
        <v>1438</v>
      </c>
      <c r="C250" t="str">
        <f>"S52.21"</f>
        <v>S52.21</v>
      </c>
      <c r="D250" t="s">
        <v>252</v>
      </c>
    </row>
    <row r="251" spans="1:4" x14ac:dyDescent="0.55000000000000004">
      <c r="A251">
        <v>7</v>
      </c>
      <c r="B251" t="s">
        <v>1438</v>
      </c>
      <c r="C251" t="str">
        <f>"S52.211"</f>
        <v>S52.211</v>
      </c>
      <c r="D251" t="s">
        <v>253</v>
      </c>
    </row>
    <row r="252" spans="1:4" x14ac:dyDescent="0.55000000000000004">
      <c r="A252">
        <v>7</v>
      </c>
      <c r="B252" t="s">
        <v>1438</v>
      </c>
      <c r="C252" t="str">
        <f>"S52.221"</f>
        <v>S52.221</v>
      </c>
      <c r="D252" t="s">
        <v>254</v>
      </c>
    </row>
    <row r="253" spans="1:4" x14ac:dyDescent="0.55000000000000004">
      <c r="A253">
        <v>7</v>
      </c>
      <c r="B253" t="s">
        <v>1438</v>
      </c>
      <c r="C253" t="str">
        <f>"S52.231"</f>
        <v>S52.231</v>
      </c>
      <c r="D253" t="s">
        <v>255</v>
      </c>
    </row>
    <row r="254" spans="1:4" x14ac:dyDescent="0.55000000000000004">
      <c r="A254">
        <v>7</v>
      </c>
      <c r="B254" t="s">
        <v>1438</v>
      </c>
      <c r="C254" t="str">
        <f>"S52.271"</f>
        <v>S52.271</v>
      </c>
      <c r="D254" t="s">
        <v>256</v>
      </c>
    </row>
    <row r="255" spans="1:4" x14ac:dyDescent="0.55000000000000004">
      <c r="A255">
        <v>7</v>
      </c>
      <c r="B255" t="s">
        <v>1438</v>
      </c>
      <c r="C255" t="str">
        <f>"S52.291"</f>
        <v>S52.291</v>
      </c>
      <c r="D255" t="s">
        <v>257</v>
      </c>
    </row>
    <row r="256" spans="1:4" x14ac:dyDescent="0.55000000000000004">
      <c r="A256">
        <v>7</v>
      </c>
      <c r="B256" t="s">
        <v>1438</v>
      </c>
      <c r="C256" t="str">
        <f>"S52.301"</f>
        <v>S52.301</v>
      </c>
      <c r="D256" t="s">
        <v>258</v>
      </c>
    </row>
    <row r="257" spans="1:4" x14ac:dyDescent="0.55000000000000004">
      <c r="A257">
        <v>7</v>
      </c>
      <c r="B257" t="s">
        <v>1438</v>
      </c>
      <c r="C257" t="str">
        <f>"S52.31"</f>
        <v>S52.31</v>
      </c>
      <c r="D257" t="s">
        <v>259</v>
      </c>
    </row>
    <row r="258" spans="1:4" x14ac:dyDescent="0.55000000000000004">
      <c r="A258">
        <v>7</v>
      </c>
      <c r="B258" t="s">
        <v>1438</v>
      </c>
      <c r="C258" t="str">
        <f>"S52.311"</f>
        <v>S52.311</v>
      </c>
      <c r="D258" t="s">
        <v>260</v>
      </c>
    </row>
    <row r="259" spans="1:4" x14ac:dyDescent="0.55000000000000004">
      <c r="A259">
        <v>7</v>
      </c>
      <c r="B259" t="s">
        <v>1438</v>
      </c>
      <c r="C259" t="str">
        <f>"S52.321"</f>
        <v>S52.321</v>
      </c>
      <c r="D259" t="s">
        <v>261</v>
      </c>
    </row>
    <row r="260" spans="1:4" x14ac:dyDescent="0.55000000000000004">
      <c r="A260">
        <v>7</v>
      </c>
      <c r="B260" t="s">
        <v>1438</v>
      </c>
      <c r="C260" t="str">
        <f>"S52.331"</f>
        <v>S52.331</v>
      </c>
      <c r="D260" t="s">
        <v>262</v>
      </c>
    </row>
    <row r="261" spans="1:4" x14ac:dyDescent="0.55000000000000004">
      <c r="A261">
        <v>7</v>
      </c>
      <c r="B261" t="s">
        <v>1438</v>
      </c>
      <c r="C261" t="str">
        <f>"S52.371"</f>
        <v>S52.371</v>
      </c>
      <c r="D261" t="s">
        <v>263</v>
      </c>
    </row>
    <row r="262" spans="1:4" x14ac:dyDescent="0.55000000000000004">
      <c r="A262">
        <v>7</v>
      </c>
      <c r="B262" t="s">
        <v>1438</v>
      </c>
      <c r="C262" t="str">
        <f>"S52.391"</f>
        <v>S52.391</v>
      </c>
      <c r="D262" t="s">
        <v>264</v>
      </c>
    </row>
    <row r="263" spans="1:4" x14ac:dyDescent="0.55000000000000004">
      <c r="A263">
        <v>7</v>
      </c>
      <c r="B263" t="s">
        <v>1438</v>
      </c>
      <c r="C263" t="str">
        <f>"S52.41"</f>
        <v>S52.41</v>
      </c>
      <c r="D263" t="s">
        <v>265</v>
      </c>
    </row>
    <row r="264" spans="1:4" x14ac:dyDescent="0.55000000000000004">
      <c r="A264">
        <v>7</v>
      </c>
      <c r="B264" t="s">
        <v>1438</v>
      </c>
      <c r="C264" t="str">
        <f>"S52.501"</f>
        <v>S52.501</v>
      </c>
      <c r="D264" t="s">
        <v>266</v>
      </c>
    </row>
    <row r="265" spans="1:4" x14ac:dyDescent="0.55000000000000004">
      <c r="A265">
        <v>7</v>
      </c>
      <c r="B265" t="s">
        <v>1438</v>
      </c>
      <c r="C265" t="str">
        <f>"S52.51"</f>
        <v>S52.51</v>
      </c>
      <c r="D265" t="s">
        <v>267</v>
      </c>
    </row>
    <row r="266" spans="1:4" x14ac:dyDescent="0.55000000000000004">
      <c r="A266">
        <v>7</v>
      </c>
      <c r="B266" t="s">
        <v>1438</v>
      </c>
      <c r="C266" t="str">
        <f>"S52.511"</f>
        <v>S52.511</v>
      </c>
      <c r="D266" t="s">
        <v>268</v>
      </c>
    </row>
    <row r="267" spans="1:4" x14ac:dyDescent="0.55000000000000004">
      <c r="A267">
        <v>7</v>
      </c>
      <c r="B267" t="s">
        <v>1438</v>
      </c>
      <c r="C267" t="str">
        <f>"S52.521"</f>
        <v>S52.521</v>
      </c>
      <c r="D267" t="s">
        <v>269</v>
      </c>
    </row>
    <row r="268" spans="1:4" x14ac:dyDescent="0.55000000000000004">
      <c r="A268">
        <v>7</v>
      </c>
      <c r="B268" t="s">
        <v>1438</v>
      </c>
      <c r="C268" t="str">
        <f>"S52.531"</f>
        <v>S52.531</v>
      </c>
      <c r="D268" t="s">
        <v>270</v>
      </c>
    </row>
    <row r="269" spans="1:4" x14ac:dyDescent="0.55000000000000004">
      <c r="A269">
        <v>7</v>
      </c>
      <c r="B269" t="s">
        <v>1438</v>
      </c>
      <c r="C269" t="str">
        <f>"S52.541"</f>
        <v>S52.541</v>
      </c>
      <c r="D269" t="s">
        <v>271</v>
      </c>
    </row>
    <row r="270" spans="1:4" x14ac:dyDescent="0.55000000000000004">
      <c r="A270">
        <v>7</v>
      </c>
      <c r="B270" t="s">
        <v>1438</v>
      </c>
      <c r="C270" t="str">
        <f>"S52.571"</f>
        <v>S52.571</v>
      </c>
      <c r="D270" t="s">
        <v>272</v>
      </c>
    </row>
    <row r="271" spans="1:4" x14ac:dyDescent="0.55000000000000004">
      <c r="A271">
        <v>7</v>
      </c>
      <c r="B271" t="s">
        <v>1438</v>
      </c>
      <c r="C271" t="str">
        <f>"S52.581"</f>
        <v>S52.581</v>
      </c>
      <c r="D271" t="s">
        <v>273</v>
      </c>
    </row>
    <row r="272" spans="1:4" x14ac:dyDescent="0.55000000000000004">
      <c r="A272">
        <v>7</v>
      </c>
      <c r="B272" t="s">
        <v>1438</v>
      </c>
      <c r="C272" t="str">
        <f>"S52.591"</f>
        <v>S52.591</v>
      </c>
      <c r="D272" t="s">
        <v>274</v>
      </c>
    </row>
    <row r="273" spans="1:4" x14ac:dyDescent="0.55000000000000004">
      <c r="A273">
        <v>7</v>
      </c>
      <c r="B273" t="s">
        <v>1438</v>
      </c>
      <c r="C273" t="str">
        <f>"S52.61"</f>
        <v>S52.61</v>
      </c>
      <c r="D273" t="s">
        <v>275</v>
      </c>
    </row>
    <row r="274" spans="1:4" x14ac:dyDescent="0.55000000000000004">
      <c r="A274">
        <v>7</v>
      </c>
      <c r="B274" t="s">
        <v>1438</v>
      </c>
      <c r="C274" t="str">
        <f>"S52.701"</f>
        <v>S52.701</v>
      </c>
      <c r="D274" t="s">
        <v>276</v>
      </c>
    </row>
    <row r="275" spans="1:4" x14ac:dyDescent="0.55000000000000004">
      <c r="A275">
        <v>7</v>
      </c>
      <c r="B275" t="s">
        <v>1438</v>
      </c>
      <c r="C275" t="str">
        <f>"S52.71"</f>
        <v>S52.71</v>
      </c>
      <c r="D275" t="s">
        <v>277</v>
      </c>
    </row>
    <row r="276" spans="1:4" x14ac:dyDescent="0.55000000000000004">
      <c r="A276">
        <v>7</v>
      </c>
      <c r="B276" t="s">
        <v>1438</v>
      </c>
      <c r="C276" t="str">
        <f>"S52.781"</f>
        <v>S52.781</v>
      </c>
      <c r="D276" t="s">
        <v>278</v>
      </c>
    </row>
    <row r="277" spans="1:4" x14ac:dyDescent="0.55000000000000004">
      <c r="A277">
        <v>7</v>
      </c>
      <c r="B277" t="s">
        <v>1438</v>
      </c>
      <c r="C277" t="str">
        <f>"S52.791"</f>
        <v>S52.791</v>
      </c>
      <c r="D277" t="s">
        <v>279</v>
      </c>
    </row>
    <row r="278" spans="1:4" x14ac:dyDescent="0.55000000000000004">
      <c r="A278">
        <v>7</v>
      </c>
      <c r="B278" t="s">
        <v>1438</v>
      </c>
      <c r="C278" t="str">
        <f>"S52.81"</f>
        <v>S52.81</v>
      </c>
      <c r="D278" t="s">
        <v>280</v>
      </c>
    </row>
    <row r="279" spans="1:4" x14ac:dyDescent="0.55000000000000004">
      <c r="A279">
        <v>7</v>
      </c>
      <c r="B279" t="s">
        <v>1438</v>
      </c>
      <c r="C279" t="str">
        <f>"S52.91"</f>
        <v>S52.91</v>
      </c>
      <c r="D279" t="s">
        <v>281</v>
      </c>
    </row>
    <row r="280" spans="1:4" x14ac:dyDescent="0.55000000000000004">
      <c r="A280">
        <v>7</v>
      </c>
      <c r="B280" t="s">
        <v>1438</v>
      </c>
      <c r="C280" t="str">
        <f>"S54.0"</f>
        <v>S54.0</v>
      </c>
      <c r="D280" t="s">
        <v>282</v>
      </c>
    </row>
    <row r="281" spans="1:4" x14ac:dyDescent="0.55000000000000004">
      <c r="A281">
        <v>7</v>
      </c>
      <c r="B281" t="s">
        <v>1438</v>
      </c>
      <c r="C281" t="str">
        <f>"S54.1"</f>
        <v>S54.1</v>
      </c>
      <c r="D281" t="s">
        <v>283</v>
      </c>
    </row>
    <row r="282" spans="1:4" x14ac:dyDescent="0.55000000000000004">
      <c r="A282">
        <v>7</v>
      </c>
      <c r="B282" t="s">
        <v>1438</v>
      </c>
      <c r="C282" t="str">
        <f>"S54.2"</f>
        <v>S54.2</v>
      </c>
      <c r="D282" t="s">
        <v>284</v>
      </c>
    </row>
    <row r="283" spans="1:4" x14ac:dyDescent="0.55000000000000004">
      <c r="A283">
        <v>7</v>
      </c>
      <c r="B283" t="s">
        <v>1438</v>
      </c>
      <c r="C283" t="str">
        <f>"S54.7"</f>
        <v>S54.7</v>
      </c>
      <c r="D283" t="s">
        <v>285</v>
      </c>
    </row>
    <row r="284" spans="1:4" x14ac:dyDescent="0.55000000000000004">
      <c r="A284">
        <v>7</v>
      </c>
      <c r="B284" t="s">
        <v>1438</v>
      </c>
      <c r="C284" t="str">
        <f>"S55.0"</f>
        <v>S55.0</v>
      </c>
      <c r="D284" t="s">
        <v>286</v>
      </c>
    </row>
    <row r="285" spans="1:4" x14ac:dyDescent="0.55000000000000004">
      <c r="A285">
        <v>7</v>
      </c>
      <c r="B285" t="s">
        <v>1438</v>
      </c>
      <c r="C285" t="str">
        <f>"S55.1"</f>
        <v>S55.1</v>
      </c>
      <c r="D285" t="s">
        <v>287</v>
      </c>
    </row>
    <row r="286" spans="1:4" x14ac:dyDescent="0.55000000000000004">
      <c r="A286">
        <v>7</v>
      </c>
      <c r="B286" t="s">
        <v>1438</v>
      </c>
      <c r="C286" t="str">
        <f>"S58.0"</f>
        <v>S58.0</v>
      </c>
      <c r="D286" t="s">
        <v>288</v>
      </c>
    </row>
    <row r="287" spans="1:4" x14ac:dyDescent="0.55000000000000004">
      <c r="A287">
        <v>7</v>
      </c>
      <c r="B287" t="s">
        <v>1438</v>
      </c>
      <c r="C287" t="str">
        <f>"S58.1"</f>
        <v>S58.1</v>
      </c>
      <c r="D287" t="s">
        <v>289</v>
      </c>
    </row>
    <row r="288" spans="1:4" x14ac:dyDescent="0.55000000000000004">
      <c r="A288">
        <v>7</v>
      </c>
      <c r="B288" t="s">
        <v>1438</v>
      </c>
      <c r="C288" t="str">
        <f>"S58.9"</f>
        <v>S58.9</v>
      </c>
      <c r="D288" t="s">
        <v>290</v>
      </c>
    </row>
    <row r="289" spans="1:4" x14ac:dyDescent="0.55000000000000004">
      <c r="A289">
        <v>7</v>
      </c>
      <c r="B289" t="s">
        <v>1438</v>
      </c>
      <c r="C289" t="str">
        <f>"S64.0"</f>
        <v>S64.0</v>
      </c>
      <c r="D289" t="s">
        <v>291</v>
      </c>
    </row>
    <row r="290" spans="1:4" x14ac:dyDescent="0.55000000000000004">
      <c r="A290">
        <v>7</v>
      </c>
      <c r="B290" t="s">
        <v>1438</v>
      </c>
      <c r="C290" t="str">
        <f>"S64.1"</f>
        <v>S64.1</v>
      </c>
      <c r="D290" t="s">
        <v>292</v>
      </c>
    </row>
    <row r="291" spans="1:4" x14ac:dyDescent="0.55000000000000004">
      <c r="A291">
        <v>7</v>
      </c>
      <c r="B291" t="s">
        <v>1438</v>
      </c>
      <c r="C291" t="str">
        <f>"S64.2"</f>
        <v>S64.2</v>
      </c>
      <c r="D291" t="s">
        <v>293</v>
      </c>
    </row>
    <row r="292" spans="1:4" x14ac:dyDescent="0.55000000000000004">
      <c r="A292">
        <v>7</v>
      </c>
      <c r="B292" t="s">
        <v>1438</v>
      </c>
      <c r="C292" t="str">
        <f>"S65.0"</f>
        <v>S65.0</v>
      </c>
      <c r="D292" t="s">
        <v>294</v>
      </c>
    </row>
    <row r="293" spans="1:4" x14ac:dyDescent="0.55000000000000004">
      <c r="A293">
        <v>7</v>
      </c>
      <c r="B293" t="s">
        <v>1438</v>
      </c>
      <c r="C293" t="str">
        <f>"S65.1"</f>
        <v>S65.1</v>
      </c>
      <c r="D293" t="s">
        <v>295</v>
      </c>
    </row>
    <row r="294" spans="1:4" x14ac:dyDescent="0.55000000000000004">
      <c r="A294">
        <v>7</v>
      </c>
      <c r="B294" t="s">
        <v>1438</v>
      </c>
      <c r="C294" t="str">
        <f>"S68.3"</f>
        <v>S68.3</v>
      </c>
      <c r="D294" t="s">
        <v>296</v>
      </c>
    </row>
    <row r="295" spans="1:4" x14ac:dyDescent="0.55000000000000004">
      <c r="A295">
        <v>7</v>
      </c>
      <c r="B295" t="s">
        <v>1438</v>
      </c>
      <c r="C295" t="str">
        <f>"S68.4"</f>
        <v>S68.4</v>
      </c>
      <c r="D295" t="s">
        <v>297</v>
      </c>
    </row>
    <row r="296" spans="1:4" x14ac:dyDescent="0.55000000000000004">
      <c r="A296">
        <v>7</v>
      </c>
      <c r="B296" t="s">
        <v>1438</v>
      </c>
      <c r="C296" t="str">
        <f>"S68.8"</f>
        <v>S68.8</v>
      </c>
      <c r="D296" t="s">
        <v>298</v>
      </c>
    </row>
    <row r="297" spans="1:4" x14ac:dyDescent="0.55000000000000004">
      <c r="A297">
        <v>7</v>
      </c>
      <c r="B297" t="s">
        <v>1438</v>
      </c>
      <c r="C297" t="str">
        <f>"S68.9"</f>
        <v>S68.9</v>
      </c>
      <c r="D297" t="s">
        <v>299</v>
      </c>
    </row>
    <row r="298" spans="1:4" x14ac:dyDescent="0.55000000000000004">
      <c r="A298">
        <v>7</v>
      </c>
      <c r="B298" t="s">
        <v>1438</v>
      </c>
      <c r="C298" t="str">
        <f>"T02.21"</f>
        <v>T02.21</v>
      </c>
      <c r="D298" t="s">
        <v>300</v>
      </c>
    </row>
    <row r="299" spans="1:4" x14ac:dyDescent="0.55000000000000004">
      <c r="A299">
        <v>7</v>
      </c>
      <c r="B299" t="s">
        <v>1438</v>
      </c>
      <c r="C299" t="str">
        <f>"T02.41"</f>
        <v>T02.41</v>
      </c>
      <c r="D299" t="s">
        <v>301</v>
      </c>
    </row>
    <row r="300" spans="1:4" x14ac:dyDescent="0.55000000000000004">
      <c r="A300">
        <v>7</v>
      </c>
      <c r="B300" t="s">
        <v>1438</v>
      </c>
      <c r="C300" t="str">
        <f>"T05.0"</f>
        <v>T05.0</v>
      </c>
      <c r="D300" t="s">
        <v>302</v>
      </c>
    </row>
    <row r="301" spans="1:4" x14ac:dyDescent="0.55000000000000004">
      <c r="A301">
        <v>7</v>
      </c>
      <c r="B301" t="s">
        <v>1438</v>
      </c>
      <c r="C301" t="str">
        <f>"T05.1"</f>
        <v>T05.1</v>
      </c>
      <c r="D301" t="s">
        <v>303</v>
      </c>
    </row>
    <row r="302" spans="1:4" x14ac:dyDescent="0.55000000000000004">
      <c r="A302">
        <v>7</v>
      </c>
      <c r="B302" t="s">
        <v>1438</v>
      </c>
      <c r="C302" t="str">
        <f>"T05.2"</f>
        <v>T05.2</v>
      </c>
      <c r="D302" t="s">
        <v>304</v>
      </c>
    </row>
    <row r="303" spans="1:4" x14ac:dyDescent="0.55000000000000004">
      <c r="A303">
        <v>7</v>
      </c>
      <c r="B303" t="s">
        <v>1438</v>
      </c>
      <c r="C303" t="str">
        <f>"T79.6"</f>
        <v>T79.6</v>
      </c>
      <c r="D303" t="s">
        <v>305</v>
      </c>
    </row>
    <row r="304" spans="1:4" x14ac:dyDescent="0.55000000000000004">
      <c r="A304">
        <v>8</v>
      </c>
      <c r="B304" t="s">
        <v>1439</v>
      </c>
      <c r="C304" t="str">
        <f>"S72.0"</f>
        <v>S72.0</v>
      </c>
      <c r="D304" t="s">
        <v>306</v>
      </c>
    </row>
    <row r="305" spans="1:4" x14ac:dyDescent="0.55000000000000004">
      <c r="A305">
        <v>8</v>
      </c>
      <c r="B305" t="s">
        <v>1439</v>
      </c>
      <c r="C305" t="str">
        <f>"S72.00"</f>
        <v>S72.00</v>
      </c>
      <c r="D305" t="s">
        <v>307</v>
      </c>
    </row>
    <row r="306" spans="1:4" x14ac:dyDescent="0.55000000000000004">
      <c r="A306">
        <v>8</v>
      </c>
      <c r="B306" t="s">
        <v>1439</v>
      </c>
      <c r="C306" t="str">
        <f>"S72.000"</f>
        <v>S72.000</v>
      </c>
      <c r="D306" t="s">
        <v>308</v>
      </c>
    </row>
    <row r="307" spans="1:4" x14ac:dyDescent="0.55000000000000004">
      <c r="A307">
        <v>8</v>
      </c>
      <c r="B307" t="s">
        <v>1439</v>
      </c>
      <c r="C307" t="str">
        <f>"S72.001"</f>
        <v>S72.001</v>
      </c>
      <c r="D307" t="s">
        <v>309</v>
      </c>
    </row>
    <row r="308" spans="1:4" x14ac:dyDescent="0.55000000000000004">
      <c r="A308">
        <v>8</v>
      </c>
      <c r="B308" t="s">
        <v>1439</v>
      </c>
      <c r="C308" t="str">
        <f>"S72.01"</f>
        <v>S72.01</v>
      </c>
      <c r="D308" t="s">
        <v>310</v>
      </c>
    </row>
    <row r="309" spans="1:4" x14ac:dyDescent="0.55000000000000004">
      <c r="A309">
        <v>8</v>
      </c>
      <c r="B309" t="s">
        <v>1439</v>
      </c>
      <c r="C309" t="str">
        <f>"S72.010"</f>
        <v>S72.010</v>
      </c>
      <c r="D309" t="s">
        <v>311</v>
      </c>
    </row>
    <row r="310" spans="1:4" x14ac:dyDescent="0.55000000000000004">
      <c r="A310">
        <v>8</v>
      </c>
      <c r="B310" t="s">
        <v>1439</v>
      </c>
      <c r="C310" t="str">
        <f>"S72.011"</f>
        <v>S72.011</v>
      </c>
      <c r="D310" t="s">
        <v>312</v>
      </c>
    </row>
    <row r="311" spans="1:4" x14ac:dyDescent="0.55000000000000004">
      <c r="A311">
        <v>8</v>
      </c>
      <c r="B311" t="s">
        <v>1439</v>
      </c>
      <c r="C311" t="str">
        <f>"S72.020"</f>
        <v>S72.020</v>
      </c>
      <c r="D311" t="s">
        <v>313</v>
      </c>
    </row>
    <row r="312" spans="1:4" x14ac:dyDescent="0.55000000000000004">
      <c r="A312">
        <v>8</v>
      </c>
      <c r="B312" t="s">
        <v>1439</v>
      </c>
      <c r="C312" t="str">
        <f>"S72.021"</f>
        <v>S72.021</v>
      </c>
      <c r="D312" t="s">
        <v>314</v>
      </c>
    </row>
    <row r="313" spans="1:4" x14ac:dyDescent="0.55000000000000004">
      <c r="A313">
        <v>8</v>
      </c>
      <c r="B313" t="s">
        <v>1439</v>
      </c>
      <c r="C313" t="str">
        <f>"S72.030"</f>
        <v>S72.030</v>
      </c>
      <c r="D313" t="s">
        <v>315</v>
      </c>
    </row>
    <row r="314" spans="1:4" x14ac:dyDescent="0.55000000000000004">
      <c r="A314">
        <v>8</v>
      </c>
      <c r="B314" t="s">
        <v>1439</v>
      </c>
      <c r="C314" t="str">
        <f>"S72.031"</f>
        <v>S72.031</v>
      </c>
      <c r="D314" t="s">
        <v>316</v>
      </c>
    </row>
    <row r="315" spans="1:4" x14ac:dyDescent="0.55000000000000004">
      <c r="A315">
        <v>8</v>
      </c>
      <c r="B315" t="s">
        <v>1439</v>
      </c>
      <c r="C315" t="str">
        <f>"S72.040"</f>
        <v>S72.040</v>
      </c>
      <c r="D315" t="s">
        <v>317</v>
      </c>
    </row>
    <row r="316" spans="1:4" x14ac:dyDescent="0.55000000000000004">
      <c r="A316">
        <v>8</v>
      </c>
      <c r="B316" t="s">
        <v>1439</v>
      </c>
      <c r="C316" t="str">
        <f>"S72.041"</f>
        <v>S72.041</v>
      </c>
      <c r="D316" t="s">
        <v>318</v>
      </c>
    </row>
    <row r="317" spans="1:4" x14ac:dyDescent="0.55000000000000004">
      <c r="A317">
        <v>8</v>
      </c>
      <c r="B317" t="s">
        <v>1439</v>
      </c>
      <c r="C317" t="str">
        <f>"S72.050"</f>
        <v>S72.050</v>
      </c>
      <c r="D317" t="s">
        <v>319</v>
      </c>
    </row>
    <row r="318" spans="1:4" x14ac:dyDescent="0.55000000000000004">
      <c r="A318">
        <v>8</v>
      </c>
      <c r="B318" t="s">
        <v>1439</v>
      </c>
      <c r="C318" t="str">
        <f>"S72.051"</f>
        <v>S72.051</v>
      </c>
      <c r="D318" t="s">
        <v>320</v>
      </c>
    </row>
    <row r="319" spans="1:4" x14ac:dyDescent="0.55000000000000004">
      <c r="A319">
        <v>8</v>
      </c>
      <c r="B319" t="s">
        <v>1439</v>
      </c>
      <c r="C319" t="str">
        <f>"S72.060"</f>
        <v>S72.060</v>
      </c>
      <c r="D319" t="s">
        <v>321</v>
      </c>
    </row>
    <row r="320" spans="1:4" x14ac:dyDescent="0.55000000000000004">
      <c r="A320">
        <v>8</v>
      </c>
      <c r="B320" t="s">
        <v>1439</v>
      </c>
      <c r="C320" t="str">
        <f>"S72.061"</f>
        <v>S72.061</v>
      </c>
      <c r="D320" t="s">
        <v>322</v>
      </c>
    </row>
    <row r="321" spans="1:4" x14ac:dyDescent="0.55000000000000004">
      <c r="A321">
        <v>8</v>
      </c>
      <c r="B321" t="s">
        <v>1439</v>
      </c>
      <c r="C321" t="str">
        <f>"S72.070"</f>
        <v>S72.070</v>
      </c>
      <c r="D321" t="s">
        <v>323</v>
      </c>
    </row>
    <row r="322" spans="1:4" x14ac:dyDescent="0.55000000000000004">
      <c r="A322">
        <v>8</v>
      </c>
      <c r="B322" t="s">
        <v>1439</v>
      </c>
      <c r="C322" t="str">
        <f>"S72.071"</f>
        <v>S72.071</v>
      </c>
      <c r="D322" t="s">
        <v>324</v>
      </c>
    </row>
    <row r="323" spans="1:4" x14ac:dyDescent="0.55000000000000004">
      <c r="A323">
        <v>8</v>
      </c>
      <c r="B323" t="s">
        <v>1439</v>
      </c>
      <c r="C323" t="str">
        <f>"S72.080"</f>
        <v>S72.080</v>
      </c>
      <c r="D323" t="s">
        <v>325</v>
      </c>
    </row>
    <row r="324" spans="1:4" x14ac:dyDescent="0.55000000000000004">
      <c r="A324">
        <v>8</v>
      </c>
      <c r="B324" t="s">
        <v>1439</v>
      </c>
      <c r="C324" t="str">
        <f>"S72.081"</f>
        <v>S72.081</v>
      </c>
      <c r="D324" t="s">
        <v>326</v>
      </c>
    </row>
    <row r="325" spans="1:4" x14ac:dyDescent="0.55000000000000004">
      <c r="A325">
        <v>8</v>
      </c>
      <c r="B325" t="s">
        <v>1439</v>
      </c>
      <c r="C325" t="str">
        <f>"S72.090"</f>
        <v>S72.090</v>
      </c>
      <c r="D325" t="s">
        <v>327</v>
      </c>
    </row>
    <row r="326" spans="1:4" x14ac:dyDescent="0.55000000000000004">
      <c r="A326">
        <v>8</v>
      </c>
      <c r="B326" t="s">
        <v>1439</v>
      </c>
      <c r="C326" t="str">
        <f>"S72.091"</f>
        <v>S72.091</v>
      </c>
      <c r="D326" t="s">
        <v>328</v>
      </c>
    </row>
    <row r="327" spans="1:4" x14ac:dyDescent="0.55000000000000004">
      <c r="A327">
        <v>8</v>
      </c>
      <c r="B327" t="s">
        <v>1439</v>
      </c>
      <c r="C327" t="str">
        <f>"S72.1"</f>
        <v>S72.1</v>
      </c>
      <c r="D327" t="s">
        <v>329</v>
      </c>
    </row>
    <row r="328" spans="1:4" x14ac:dyDescent="0.55000000000000004">
      <c r="A328">
        <v>8</v>
      </c>
      <c r="B328" t="s">
        <v>1439</v>
      </c>
      <c r="C328" t="str">
        <f>"S72.10"</f>
        <v>S72.10</v>
      </c>
      <c r="D328" t="s">
        <v>330</v>
      </c>
    </row>
    <row r="329" spans="1:4" x14ac:dyDescent="0.55000000000000004">
      <c r="A329">
        <v>8</v>
      </c>
      <c r="B329" t="s">
        <v>1439</v>
      </c>
      <c r="C329" t="str">
        <f>"S72.100"</f>
        <v>S72.100</v>
      </c>
      <c r="D329" t="s">
        <v>331</v>
      </c>
    </row>
    <row r="330" spans="1:4" x14ac:dyDescent="0.55000000000000004">
      <c r="A330">
        <v>8</v>
      </c>
      <c r="B330" t="s">
        <v>1439</v>
      </c>
      <c r="C330" t="str">
        <f>"S72.101"</f>
        <v>S72.101</v>
      </c>
      <c r="D330" t="s">
        <v>332</v>
      </c>
    </row>
    <row r="331" spans="1:4" x14ac:dyDescent="0.55000000000000004">
      <c r="A331">
        <v>8</v>
      </c>
      <c r="B331" t="s">
        <v>1439</v>
      </c>
      <c r="C331" t="str">
        <f>"S72.11"</f>
        <v>S72.11</v>
      </c>
      <c r="D331" t="s">
        <v>333</v>
      </c>
    </row>
    <row r="332" spans="1:4" x14ac:dyDescent="0.55000000000000004">
      <c r="A332">
        <v>8</v>
      </c>
      <c r="B332" t="s">
        <v>1439</v>
      </c>
      <c r="C332" t="str">
        <f>"S72.110"</f>
        <v>S72.110</v>
      </c>
      <c r="D332" t="s">
        <v>334</v>
      </c>
    </row>
    <row r="333" spans="1:4" x14ac:dyDescent="0.55000000000000004">
      <c r="A333">
        <v>8</v>
      </c>
      <c r="B333" t="s">
        <v>1439</v>
      </c>
      <c r="C333" t="str">
        <f>"S72.111"</f>
        <v>S72.111</v>
      </c>
      <c r="D333" t="s">
        <v>335</v>
      </c>
    </row>
    <row r="334" spans="1:4" x14ac:dyDescent="0.55000000000000004">
      <c r="A334">
        <v>8</v>
      </c>
      <c r="B334" t="s">
        <v>1439</v>
      </c>
      <c r="C334" t="str">
        <f>"S72.180"</f>
        <v>S72.180</v>
      </c>
      <c r="D334" t="s">
        <v>336</v>
      </c>
    </row>
    <row r="335" spans="1:4" x14ac:dyDescent="0.55000000000000004">
      <c r="A335">
        <v>8</v>
      </c>
      <c r="B335" t="s">
        <v>1439</v>
      </c>
      <c r="C335" t="str">
        <f>"S72.181"</f>
        <v>S72.181</v>
      </c>
      <c r="D335" t="s">
        <v>337</v>
      </c>
    </row>
    <row r="336" spans="1:4" x14ac:dyDescent="0.55000000000000004">
      <c r="A336">
        <v>8</v>
      </c>
      <c r="B336" t="s">
        <v>1439</v>
      </c>
      <c r="C336" t="str">
        <f>"S72.190"</f>
        <v>S72.190</v>
      </c>
      <c r="D336" t="s">
        <v>331</v>
      </c>
    </row>
    <row r="337" spans="1:4" x14ac:dyDescent="0.55000000000000004">
      <c r="A337">
        <v>8</v>
      </c>
      <c r="B337" t="s">
        <v>1439</v>
      </c>
      <c r="C337" t="str">
        <f>"S72.191"</f>
        <v>S72.191</v>
      </c>
      <c r="D337" t="s">
        <v>332</v>
      </c>
    </row>
    <row r="338" spans="1:4" x14ac:dyDescent="0.55000000000000004">
      <c r="A338">
        <v>8</v>
      </c>
      <c r="B338" t="s">
        <v>1439</v>
      </c>
      <c r="C338" t="str">
        <f>"S72.2"</f>
        <v>S72.2</v>
      </c>
      <c r="D338" t="s">
        <v>338</v>
      </c>
    </row>
    <row r="339" spans="1:4" x14ac:dyDescent="0.55000000000000004">
      <c r="A339">
        <v>8</v>
      </c>
      <c r="B339" t="s">
        <v>1439</v>
      </c>
      <c r="C339" t="str">
        <f>"S72.20"</f>
        <v>S72.20</v>
      </c>
      <c r="D339" t="s">
        <v>339</v>
      </c>
    </row>
    <row r="340" spans="1:4" x14ac:dyDescent="0.55000000000000004">
      <c r="A340">
        <v>8</v>
      </c>
      <c r="B340" t="s">
        <v>1439</v>
      </c>
      <c r="C340" t="str">
        <f>"S72.21"</f>
        <v>S72.21</v>
      </c>
      <c r="D340" t="s">
        <v>340</v>
      </c>
    </row>
    <row r="341" spans="1:4" x14ac:dyDescent="0.55000000000000004">
      <c r="A341">
        <v>8</v>
      </c>
      <c r="B341" t="s">
        <v>1439</v>
      </c>
      <c r="C341" t="str">
        <f>"S72.3"</f>
        <v>S72.3</v>
      </c>
      <c r="D341" t="s">
        <v>341</v>
      </c>
    </row>
    <row r="342" spans="1:4" x14ac:dyDescent="0.55000000000000004">
      <c r="A342">
        <v>8</v>
      </c>
      <c r="B342" t="s">
        <v>1439</v>
      </c>
      <c r="C342" t="str">
        <f>"S72.30"</f>
        <v>S72.30</v>
      </c>
      <c r="D342" t="s">
        <v>342</v>
      </c>
    </row>
    <row r="343" spans="1:4" x14ac:dyDescent="0.55000000000000004">
      <c r="A343">
        <v>8</v>
      </c>
      <c r="B343" t="s">
        <v>1439</v>
      </c>
      <c r="C343" t="str">
        <f>"S72.300"</f>
        <v>S72.300</v>
      </c>
      <c r="D343" t="s">
        <v>343</v>
      </c>
    </row>
    <row r="344" spans="1:4" x14ac:dyDescent="0.55000000000000004">
      <c r="A344">
        <v>8</v>
      </c>
      <c r="B344" t="s">
        <v>1439</v>
      </c>
      <c r="C344" t="str">
        <f>"S72.301"</f>
        <v>S72.301</v>
      </c>
      <c r="D344" t="s">
        <v>344</v>
      </c>
    </row>
    <row r="345" spans="1:4" x14ac:dyDescent="0.55000000000000004">
      <c r="A345">
        <v>8</v>
      </c>
      <c r="B345" t="s">
        <v>1439</v>
      </c>
      <c r="C345" t="str">
        <f>"S72.31"</f>
        <v>S72.31</v>
      </c>
      <c r="D345" t="s">
        <v>345</v>
      </c>
    </row>
    <row r="346" spans="1:4" x14ac:dyDescent="0.55000000000000004">
      <c r="A346">
        <v>8</v>
      </c>
      <c r="B346" t="s">
        <v>1439</v>
      </c>
      <c r="C346" t="str">
        <f>"S72.310"</f>
        <v>S72.310</v>
      </c>
      <c r="D346" t="s">
        <v>346</v>
      </c>
    </row>
    <row r="347" spans="1:4" x14ac:dyDescent="0.55000000000000004">
      <c r="A347">
        <v>8</v>
      </c>
      <c r="B347" t="s">
        <v>1439</v>
      </c>
      <c r="C347" t="str">
        <f>"S72.311"</f>
        <v>S72.311</v>
      </c>
      <c r="D347" t="s">
        <v>347</v>
      </c>
    </row>
    <row r="348" spans="1:4" x14ac:dyDescent="0.55000000000000004">
      <c r="A348">
        <v>8</v>
      </c>
      <c r="B348" t="s">
        <v>1439</v>
      </c>
      <c r="C348" t="str">
        <f>"S72.320"</f>
        <v>S72.320</v>
      </c>
      <c r="D348" t="s">
        <v>348</v>
      </c>
    </row>
    <row r="349" spans="1:4" x14ac:dyDescent="0.55000000000000004">
      <c r="A349">
        <v>8</v>
      </c>
      <c r="B349" t="s">
        <v>1439</v>
      </c>
      <c r="C349" t="str">
        <f>"S72.321"</f>
        <v>S72.321</v>
      </c>
      <c r="D349" t="s">
        <v>349</v>
      </c>
    </row>
    <row r="350" spans="1:4" x14ac:dyDescent="0.55000000000000004">
      <c r="A350">
        <v>8</v>
      </c>
      <c r="B350" t="s">
        <v>1439</v>
      </c>
      <c r="C350" t="str">
        <f>"S72.370"</f>
        <v>S72.370</v>
      </c>
      <c r="D350" t="s">
        <v>350</v>
      </c>
    </row>
    <row r="351" spans="1:4" x14ac:dyDescent="0.55000000000000004">
      <c r="A351">
        <v>8</v>
      </c>
      <c r="B351" t="s">
        <v>1439</v>
      </c>
      <c r="C351" t="str">
        <f>"S72.371"</f>
        <v>S72.371</v>
      </c>
      <c r="D351" t="s">
        <v>351</v>
      </c>
    </row>
    <row r="352" spans="1:4" x14ac:dyDescent="0.55000000000000004">
      <c r="A352">
        <v>8</v>
      </c>
      <c r="B352" t="s">
        <v>1439</v>
      </c>
      <c r="C352" t="str">
        <f>"S72.390"</f>
        <v>S72.390</v>
      </c>
      <c r="D352" t="s">
        <v>352</v>
      </c>
    </row>
    <row r="353" spans="1:4" x14ac:dyDescent="0.55000000000000004">
      <c r="A353">
        <v>8</v>
      </c>
      <c r="B353" t="s">
        <v>1439</v>
      </c>
      <c r="C353" t="str">
        <f>"S72.391"</f>
        <v>S72.391</v>
      </c>
      <c r="D353" t="s">
        <v>353</v>
      </c>
    </row>
    <row r="354" spans="1:4" x14ac:dyDescent="0.55000000000000004">
      <c r="A354">
        <v>8</v>
      </c>
      <c r="B354" t="s">
        <v>1439</v>
      </c>
      <c r="C354" t="str">
        <f>"S72.4"</f>
        <v>S72.4</v>
      </c>
      <c r="D354" t="s">
        <v>354</v>
      </c>
    </row>
    <row r="355" spans="1:4" x14ac:dyDescent="0.55000000000000004">
      <c r="A355">
        <v>8</v>
      </c>
      <c r="B355" t="s">
        <v>1439</v>
      </c>
      <c r="C355" t="str">
        <f>"S72.40"</f>
        <v>S72.40</v>
      </c>
      <c r="D355" t="s">
        <v>355</v>
      </c>
    </row>
    <row r="356" spans="1:4" x14ac:dyDescent="0.55000000000000004">
      <c r="A356">
        <v>8</v>
      </c>
      <c r="B356" t="s">
        <v>1439</v>
      </c>
      <c r="C356" t="str">
        <f>"S72.400"</f>
        <v>S72.400</v>
      </c>
      <c r="D356" t="s">
        <v>356</v>
      </c>
    </row>
    <row r="357" spans="1:4" x14ac:dyDescent="0.55000000000000004">
      <c r="A357">
        <v>8</v>
      </c>
      <c r="B357" t="s">
        <v>1439</v>
      </c>
      <c r="C357" t="str">
        <f>"S72.401"</f>
        <v>S72.401</v>
      </c>
      <c r="D357" t="s">
        <v>357</v>
      </c>
    </row>
    <row r="358" spans="1:4" x14ac:dyDescent="0.55000000000000004">
      <c r="A358">
        <v>8</v>
      </c>
      <c r="B358" t="s">
        <v>1439</v>
      </c>
      <c r="C358" t="str">
        <f>"S72.41"</f>
        <v>S72.41</v>
      </c>
      <c r="D358" t="s">
        <v>358</v>
      </c>
    </row>
    <row r="359" spans="1:4" x14ac:dyDescent="0.55000000000000004">
      <c r="A359">
        <v>8</v>
      </c>
      <c r="B359" t="s">
        <v>1439</v>
      </c>
      <c r="C359" t="str">
        <f>"S72.410"</f>
        <v>S72.410</v>
      </c>
      <c r="D359" t="s">
        <v>359</v>
      </c>
    </row>
    <row r="360" spans="1:4" x14ac:dyDescent="0.55000000000000004">
      <c r="A360">
        <v>8</v>
      </c>
      <c r="B360" t="s">
        <v>1439</v>
      </c>
      <c r="C360" t="str">
        <f>"S72.411"</f>
        <v>S72.411</v>
      </c>
      <c r="D360" t="s">
        <v>360</v>
      </c>
    </row>
    <row r="361" spans="1:4" x14ac:dyDescent="0.55000000000000004">
      <c r="A361">
        <v>8</v>
      </c>
      <c r="B361" t="s">
        <v>1439</v>
      </c>
      <c r="C361" t="str">
        <f>"S72.420"</f>
        <v>S72.420</v>
      </c>
      <c r="D361" t="s">
        <v>361</v>
      </c>
    </row>
    <row r="362" spans="1:4" x14ac:dyDescent="0.55000000000000004">
      <c r="A362">
        <v>8</v>
      </c>
      <c r="B362" t="s">
        <v>1439</v>
      </c>
      <c r="C362" t="str">
        <f>"S72.421"</f>
        <v>S72.421</v>
      </c>
      <c r="D362" t="s">
        <v>362</v>
      </c>
    </row>
    <row r="363" spans="1:4" x14ac:dyDescent="0.55000000000000004">
      <c r="A363">
        <v>8</v>
      </c>
      <c r="B363" t="s">
        <v>1439</v>
      </c>
      <c r="C363" t="str">
        <f>"S72.430"</f>
        <v>S72.430</v>
      </c>
      <c r="D363" t="s">
        <v>363</v>
      </c>
    </row>
    <row r="364" spans="1:4" x14ac:dyDescent="0.55000000000000004">
      <c r="A364">
        <v>8</v>
      </c>
      <c r="B364" t="s">
        <v>1439</v>
      </c>
      <c r="C364" t="str">
        <f>"S72.431"</f>
        <v>S72.431</v>
      </c>
      <c r="D364" t="s">
        <v>364</v>
      </c>
    </row>
    <row r="365" spans="1:4" x14ac:dyDescent="0.55000000000000004">
      <c r="A365">
        <v>8</v>
      </c>
      <c r="B365" t="s">
        <v>1439</v>
      </c>
      <c r="C365" t="str">
        <f>"S72.440"</f>
        <v>S72.440</v>
      </c>
      <c r="D365" t="s">
        <v>365</v>
      </c>
    </row>
    <row r="366" spans="1:4" x14ac:dyDescent="0.55000000000000004">
      <c r="A366">
        <v>8</v>
      </c>
      <c r="B366" t="s">
        <v>1439</v>
      </c>
      <c r="C366" t="str">
        <f>"S72.441"</f>
        <v>S72.441</v>
      </c>
      <c r="D366" t="s">
        <v>366</v>
      </c>
    </row>
    <row r="367" spans="1:4" x14ac:dyDescent="0.55000000000000004">
      <c r="A367">
        <v>8</v>
      </c>
      <c r="B367" t="s">
        <v>1439</v>
      </c>
      <c r="C367" t="str">
        <f>"S72.450"</f>
        <v>S72.450</v>
      </c>
      <c r="D367" t="s">
        <v>367</v>
      </c>
    </row>
    <row r="368" spans="1:4" x14ac:dyDescent="0.55000000000000004">
      <c r="A368">
        <v>8</v>
      </c>
      <c r="B368" t="s">
        <v>1439</v>
      </c>
      <c r="C368" t="str">
        <f>"S72.451"</f>
        <v>S72.451</v>
      </c>
      <c r="D368" t="s">
        <v>368</v>
      </c>
    </row>
    <row r="369" spans="1:4" x14ac:dyDescent="0.55000000000000004">
      <c r="A369">
        <v>8</v>
      </c>
      <c r="B369" t="s">
        <v>1439</v>
      </c>
      <c r="C369" t="str">
        <f>"S72.460"</f>
        <v>S72.460</v>
      </c>
      <c r="D369" t="s">
        <v>369</v>
      </c>
    </row>
    <row r="370" spans="1:4" x14ac:dyDescent="0.55000000000000004">
      <c r="A370">
        <v>8</v>
      </c>
      <c r="B370" t="s">
        <v>1439</v>
      </c>
      <c r="C370" t="str">
        <f>"S72.461"</f>
        <v>S72.461</v>
      </c>
      <c r="D370" t="s">
        <v>370</v>
      </c>
    </row>
    <row r="371" spans="1:4" x14ac:dyDescent="0.55000000000000004">
      <c r="A371">
        <v>8</v>
      </c>
      <c r="B371" t="s">
        <v>1439</v>
      </c>
      <c r="C371" t="str">
        <f>"S72.470"</f>
        <v>S72.470</v>
      </c>
      <c r="D371" t="s">
        <v>371</v>
      </c>
    </row>
    <row r="372" spans="1:4" x14ac:dyDescent="0.55000000000000004">
      <c r="A372">
        <v>8</v>
      </c>
      <c r="B372" t="s">
        <v>1439</v>
      </c>
      <c r="C372" t="str">
        <f>"S72.471"</f>
        <v>S72.471</v>
      </c>
      <c r="D372" t="s">
        <v>372</v>
      </c>
    </row>
    <row r="373" spans="1:4" x14ac:dyDescent="0.55000000000000004">
      <c r="A373">
        <v>8</v>
      </c>
      <c r="B373" t="s">
        <v>1439</v>
      </c>
      <c r="C373" t="str">
        <f>"S72.480"</f>
        <v>S72.480</v>
      </c>
      <c r="D373" t="s">
        <v>373</v>
      </c>
    </row>
    <row r="374" spans="1:4" x14ac:dyDescent="0.55000000000000004">
      <c r="A374">
        <v>8</v>
      </c>
      <c r="B374" t="s">
        <v>1439</v>
      </c>
      <c r="C374" t="str">
        <f>"S72.481"</f>
        <v>S72.481</v>
      </c>
      <c r="D374" t="s">
        <v>374</v>
      </c>
    </row>
    <row r="375" spans="1:4" x14ac:dyDescent="0.55000000000000004">
      <c r="A375">
        <v>8</v>
      </c>
      <c r="B375" t="s">
        <v>1439</v>
      </c>
      <c r="C375" t="str">
        <f>"S72.490"</f>
        <v>S72.490</v>
      </c>
      <c r="D375" t="s">
        <v>375</v>
      </c>
    </row>
    <row r="376" spans="1:4" x14ac:dyDescent="0.55000000000000004">
      <c r="A376">
        <v>8</v>
      </c>
      <c r="B376" t="s">
        <v>1439</v>
      </c>
      <c r="C376" t="str">
        <f>"S72.491"</f>
        <v>S72.491</v>
      </c>
      <c r="D376" t="s">
        <v>376</v>
      </c>
    </row>
    <row r="377" spans="1:4" x14ac:dyDescent="0.55000000000000004">
      <c r="A377">
        <v>8</v>
      </c>
      <c r="B377" t="s">
        <v>1439</v>
      </c>
      <c r="C377" t="str">
        <f>"S72.7"</f>
        <v>S72.7</v>
      </c>
      <c r="D377" t="s">
        <v>377</v>
      </c>
    </row>
    <row r="378" spans="1:4" x14ac:dyDescent="0.55000000000000004">
      <c r="A378">
        <v>8</v>
      </c>
      <c r="B378" t="s">
        <v>1439</v>
      </c>
      <c r="C378" t="str">
        <f>"S72.70"</f>
        <v>S72.70</v>
      </c>
      <c r="D378" t="s">
        <v>378</v>
      </c>
    </row>
    <row r="379" spans="1:4" x14ac:dyDescent="0.55000000000000004">
      <c r="A379">
        <v>8</v>
      </c>
      <c r="B379" t="s">
        <v>1439</v>
      </c>
      <c r="C379" t="str">
        <f>"S72.71"</f>
        <v>S72.71</v>
      </c>
      <c r="D379" t="s">
        <v>379</v>
      </c>
    </row>
    <row r="380" spans="1:4" x14ac:dyDescent="0.55000000000000004">
      <c r="A380">
        <v>8</v>
      </c>
      <c r="B380" t="s">
        <v>1439</v>
      </c>
      <c r="C380" t="str">
        <f>"S72.8"</f>
        <v>S72.8</v>
      </c>
      <c r="D380" t="s">
        <v>380</v>
      </c>
    </row>
    <row r="381" spans="1:4" x14ac:dyDescent="0.55000000000000004">
      <c r="A381">
        <v>8</v>
      </c>
      <c r="B381" t="s">
        <v>1439</v>
      </c>
      <c r="C381" t="str">
        <f>"S72.80"</f>
        <v>S72.80</v>
      </c>
      <c r="D381" t="s">
        <v>381</v>
      </c>
    </row>
    <row r="382" spans="1:4" x14ac:dyDescent="0.55000000000000004">
      <c r="A382">
        <v>8</v>
      </c>
      <c r="B382" t="s">
        <v>1439</v>
      </c>
      <c r="C382" t="str">
        <f>"S72.81"</f>
        <v>S72.81</v>
      </c>
      <c r="D382" t="s">
        <v>382</v>
      </c>
    </row>
    <row r="383" spans="1:4" x14ac:dyDescent="0.55000000000000004">
      <c r="A383">
        <v>8</v>
      </c>
      <c r="B383" t="s">
        <v>1439</v>
      </c>
      <c r="C383" t="str">
        <f>"S72.9"</f>
        <v>S72.9</v>
      </c>
      <c r="D383" t="s">
        <v>383</v>
      </c>
    </row>
    <row r="384" spans="1:4" x14ac:dyDescent="0.55000000000000004">
      <c r="A384">
        <v>8</v>
      </c>
      <c r="B384" t="s">
        <v>1439</v>
      </c>
      <c r="C384" t="str">
        <f>"S72.90"</f>
        <v>S72.90</v>
      </c>
      <c r="D384" t="s">
        <v>384</v>
      </c>
    </row>
    <row r="385" spans="1:4" x14ac:dyDescent="0.55000000000000004">
      <c r="A385">
        <v>8</v>
      </c>
      <c r="B385" t="s">
        <v>1439</v>
      </c>
      <c r="C385" t="str">
        <f>"S72.91"</f>
        <v>S72.91</v>
      </c>
      <c r="D385" t="s">
        <v>385</v>
      </c>
    </row>
    <row r="386" spans="1:4" x14ac:dyDescent="0.55000000000000004">
      <c r="A386">
        <v>8</v>
      </c>
      <c r="B386" t="s">
        <v>1439</v>
      </c>
      <c r="C386" t="str">
        <f>"S74.0"</f>
        <v>S74.0</v>
      </c>
      <c r="D386" t="s">
        <v>386</v>
      </c>
    </row>
    <row r="387" spans="1:4" x14ac:dyDescent="0.55000000000000004">
      <c r="A387">
        <v>8</v>
      </c>
      <c r="B387" t="s">
        <v>1439</v>
      </c>
      <c r="C387" t="str">
        <f>"S74.1"</f>
        <v>S74.1</v>
      </c>
      <c r="D387" t="s">
        <v>387</v>
      </c>
    </row>
    <row r="388" spans="1:4" x14ac:dyDescent="0.55000000000000004">
      <c r="A388">
        <v>8</v>
      </c>
      <c r="B388" t="s">
        <v>1439</v>
      </c>
      <c r="C388" t="str">
        <f>"S74.7"</f>
        <v>S74.7</v>
      </c>
      <c r="D388" t="s">
        <v>388</v>
      </c>
    </row>
    <row r="389" spans="1:4" x14ac:dyDescent="0.55000000000000004">
      <c r="A389">
        <v>8</v>
      </c>
      <c r="B389" t="s">
        <v>1439</v>
      </c>
      <c r="C389" t="str">
        <f>"S75.0"</f>
        <v>S75.0</v>
      </c>
      <c r="D389" t="s">
        <v>389</v>
      </c>
    </row>
    <row r="390" spans="1:4" x14ac:dyDescent="0.55000000000000004">
      <c r="A390">
        <v>8</v>
      </c>
      <c r="B390" t="s">
        <v>1439</v>
      </c>
      <c r="C390" t="str">
        <f>"S75.1"</f>
        <v>S75.1</v>
      </c>
      <c r="D390" t="s">
        <v>390</v>
      </c>
    </row>
    <row r="391" spans="1:4" x14ac:dyDescent="0.55000000000000004">
      <c r="A391">
        <v>8</v>
      </c>
      <c r="B391" t="s">
        <v>1439</v>
      </c>
      <c r="C391" t="str">
        <f>"S78.0"</f>
        <v>S78.0</v>
      </c>
      <c r="D391" t="s">
        <v>391</v>
      </c>
    </row>
    <row r="392" spans="1:4" x14ac:dyDescent="0.55000000000000004">
      <c r="A392">
        <v>8</v>
      </c>
      <c r="B392" t="s">
        <v>1439</v>
      </c>
      <c r="C392" t="str">
        <f>"S78.1"</f>
        <v>S78.1</v>
      </c>
      <c r="D392" t="s">
        <v>392</v>
      </c>
    </row>
    <row r="393" spans="1:4" x14ac:dyDescent="0.55000000000000004">
      <c r="A393">
        <v>8</v>
      </c>
      <c r="B393" t="s">
        <v>1439</v>
      </c>
      <c r="C393" t="str">
        <f>"S78.9"</f>
        <v>S78.9</v>
      </c>
      <c r="D393" t="s">
        <v>393</v>
      </c>
    </row>
    <row r="394" spans="1:4" x14ac:dyDescent="0.55000000000000004">
      <c r="A394">
        <v>8</v>
      </c>
      <c r="B394" t="s">
        <v>1439</v>
      </c>
      <c r="C394" t="str">
        <f>"S82.101"</f>
        <v>S82.101</v>
      </c>
      <c r="D394" t="s">
        <v>394</v>
      </c>
    </row>
    <row r="395" spans="1:4" x14ac:dyDescent="0.55000000000000004">
      <c r="A395">
        <v>8</v>
      </c>
      <c r="B395" t="s">
        <v>1439</v>
      </c>
      <c r="C395" t="str">
        <f>"S82.11"</f>
        <v>S82.11</v>
      </c>
      <c r="D395" t="s">
        <v>395</v>
      </c>
    </row>
    <row r="396" spans="1:4" x14ac:dyDescent="0.55000000000000004">
      <c r="A396">
        <v>8</v>
      </c>
      <c r="B396" t="s">
        <v>1439</v>
      </c>
      <c r="C396" t="str">
        <f>"S82.111"</f>
        <v>S82.111</v>
      </c>
      <c r="D396" t="s">
        <v>396</v>
      </c>
    </row>
    <row r="397" spans="1:4" x14ac:dyDescent="0.55000000000000004">
      <c r="A397">
        <v>8</v>
      </c>
      <c r="B397" t="s">
        <v>1439</v>
      </c>
      <c r="C397" t="str">
        <f>"S82.121"</f>
        <v>S82.121</v>
      </c>
      <c r="D397" t="s">
        <v>397</v>
      </c>
    </row>
    <row r="398" spans="1:4" x14ac:dyDescent="0.55000000000000004">
      <c r="A398">
        <v>8</v>
      </c>
      <c r="B398" t="s">
        <v>1439</v>
      </c>
      <c r="C398" t="str">
        <f>"S82.131"</f>
        <v>S82.131</v>
      </c>
      <c r="D398" t="s">
        <v>398</v>
      </c>
    </row>
    <row r="399" spans="1:4" x14ac:dyDescent="0.55000000000000004">
      <c r="A399">
        <v>8</v>
      </c>
      <c r="B399" t="s">
        <v>1439</v>
      </c>
      <c r="C399" t="str">
        <f>"S82.141"</f>
        <v>S82.141</v>
      </c>
      <c r="D399" t="s">
        <v>399</v>
      </c>
    </row>
    <row r="400" spans="1:4" x14ac:dyDescent="0.55000000000000004">
      <c r="A400">
        <v>8</v>
      </c>
      <c r="B400" t="s">
        <v>1439</v>
      </c>
      <c r="C400" t="str">
        <f>"S82.151"</f>
        <v>S82.151</v>
      </c>
      <c r="D400" t="s">
        <v>400</v>
      </c>
    </row>
    <row r="401" spans="1:4" x14ac:dyDescent="0.55000000000000004">
      <c r="A401">
        <v>8</v>
      </c>
      <c r="B401" t="s">
        <v>1439</v>
      </c>
      <c r="C401" t="str">
        <f>"S82.161"</f>
        <v>S82.161</v>
      </c>
      <c r="D401" t="s">
        <v>401</v>
      </c>
    </row>
    <row r="402" spans="1:4" x14ac:dyDescent="0.55000000000000004">
      <c r="A402">
        <v>8</v>
      </c>
      <c r="B402" t="s">
        <v>1439</v>
      </c>
      <c r="C402" t="str">
        <f>"S82.171"</f>
        <v>S82.171</v>
      </c>
      <c r="D402" t="s">
        <v>402</v>
      </c>
    </row>
    <row r="403" spans="1:4" x14ac:dyDescent="0.55000000000000004">
      <c r="A403">
        <v>8</v>
      </c>
      <c r="B403" t="s">
        <v>1439</v>
      </c>
      <c r="C403" t="str">
        <f>"S82.181"</f>
        <v>S82.181</v>
      </c>
      <c r="D403" t="s">
        <v>403</v>
      </c>
    </row>
    <row r="404" spans="1:4" x14ac:dyDescent="0.55000000000000004">
      <c r="A404">
        <v>8</v>
      </c>
      <c r="B404" t="s">
        <v>1439</v>
      </c>
      <c r="C404" t="str">
        <f>"S82.191"</f>
        <v>S82.191</v>
      </c>
      <c r="D404" t="s">
        <v>404</v>
      </c>
    </row>
    <row r="405" spans="1:4" x14ac:dyDescent="0.55000000000000004">
      <c r="A405">
        <v>8</v>
      </c>
      <c r="B405" t="s">
        <v>1439</v>
      </c>
      <c r="C405" t="str">
        <f>"S82.201"</f>
        <v>S82.201</v>
      </c>
      <c r="D405" t="s">
        <v>405</v>
      </c>
    </row>
    <row r="406" spans="1:4" x14ac:dyDescent="0.55000000000000004">
      <c r="A406">
        <v>8</v>
      </c>
      <c r="B406" t="s">
        <v>1439</v>
      </c>
      <c r="C406" t="str">
        <f>"S82.21"</f>
        <v>S82.21</v>
      </c>
      <c r="D406" t="s">
        <v>406</v>
      </c>
    </row>
    <row r="407" spans="1:4" x14ac:dyDescent="0.55000000000000004">
      <c r="A407">
        <v>8</v>
      </c>
      <c r="B407" t="s">
        <v>1439</v>
      </c>
      <c r="C407" t="str">
        <f>"S82.211"</f>
        <v>S82.211</v>
      </c>
      <c r="D407" t="s">
        <v>407</v>
      </c>
    </row>
    <row r="408" spans="1:4" x14ac:dyDescent="0.55000000000000004">
      <c r="A408">
        <v>8</v>
      </c>
      <c r="B408" t="s">
        <v>1439</v>
      </c>
      <c r="C408" t="str">
        <f>"S82.221"</f>
        <v>S82.221</v>
      </c>
      <c r="D408" t="s">
        <v>408</v>
      </c>
    </row>
    <row r="409" spans="1:4" x14ac:dyDescent="0.55000000000000004">
      <c r="A409">
        <v>8</v>
      </c>
      <c r="B409" t="s">
        <v>1439</v>
      </c>
      <c r="C409" t="str">
        <f>"S82.271"</f>
        <v>S82.271</v>
      </c>
      <c r="D409" t="s">
        <v>409</v>
      </c>
    </row>
    <row r="410" spans="1:4" x14ac:dyDescent="0.55000000000000004">
      <c r="A410">
        <v>8</v>
      </c>
      <c r="B410" t="s">
        <v>1439</v>
      </c>
      <c r="C410" t="str">
        <f>"S82.281"</f>
        <v>S82.281</v>
      </c>
      <c r="D410" t="s">
        <v>410</v>
      </c>
    </row>
    <row r="411" spans="1:4" x14ac:dyDescent="0.55000000000000004">
      <c r="A411">
        <v>8</v>
      </c>
      <c r="B411" t="s">
        <v>1439</v>
      </c>
      <c r="C411" t="str">
        <f>"S82.291"</f>
        <v>S82.291</v>
      </c>
      <c r="D411" t="s">
        <v>411</v>
      </c>
    </row>
    <row r="412" spans="1:4" x14ac:dyDescent="0.55000000000000004">
      <c r="A412">
        <v>8</v>
      </c>
      <c r="B412" t="s">
        <v>1439</v>
      </c>
      <c r="C412" t="str">
        <f>"S82.301"</f>
        <v>S82.301</v>
      </c>
      <c r="D412" t="s">
        <v>412</v>
      </c>
    </row>
    <row r="413" spans="1:4" x14ac:dyDescent="0.55000000000000004">
      <c r="A413">
        <v>8</v>
      </c>
      <c r="B413" t="s">
        <v>1439</v>
      </c>
      <c r="C413" t="str">
        <f>"S82.31"</f>
        <v>S82.31</v>
      </c>
      <c r="D413" t="s">
        <v>413</v>
      </c>
    </row>
    <row r="414" spans="1:4" x14ac:dyDescent="0.55000000000000004">
      <c r="A414">
        <v>8</v>
      </c>
      <c r="B414" t="s">
        <v>1439</v>
      </c>
      <c r="C414" t="str">
        <f>"S82.311"</f>
        <v>S82.311</v>
      </c>
      <c r="D414" t="s">
        <v>414</v>
      </c>
    </row>
    <row r="415" spans="1:4" x14ac:dyDescent="0.55000000000000004">
      <c r="A415">
        <v>8</v>
      </c>
      <c r="B415" t="s">
        <v>1439</v>
      </c>
      <c r="C415" t="str">
        <f>"S82.321"</f>
        <v>S82.321</v>
      </c>
      <c r="D415" t="s">
        <v>415</v>
      </c>
    </row>
    <row r="416" spans="1:4" x14ac:dyDescent="0.55000000000000004">
      <c r="A416">
        <v>8</v>
      </c>
      <c r="B416" t="s">
        <v>1439</v>
      </c>
      <c r="C416" t="str">
        <f>"S82.331"</f>
        <v>S82.331</v>
      </c>
      <c r="D416" t="s">
        <v>416</v>
      </c>
    </row>
    <row r="417" spans="1:4" x14ac:dyDescent="0.55000000000000004">
      <c r="A417">
        <v>8</v>
      </c>
      <c r="B417" t="s">
        <v>1439</v>
      </c>
      <c r="C417" t="str">
        <f>"S82.371"</f>
        <v>S82.371</v>
      </c>
      <c r="D417" t="s">
        <v>417</v>
      </c>
    </row>
    <row r="418" spans="1:4" x14ac:dyDescent="0.55000000000000004">
      <c r="A418">
        <v>8</v>
      </c>
      <c r="B418" t="s">
        <v>1439</v>
      </c>
      <c r="C418" t="str">
        <f>"S82.381"</f>
        <v>S82.381</v>
      </c>
      <c r="D418" t="s">
        <v>418</v>
      </c>
    </row>
    <row r="419" spans="1:4" x14ac:dyDescent="0.55000000000000004">
      <c r="A419">
        <v>8</v>
      </c>
      <c r="B419" t="s">
        <v>1439</v>
      </c>
      <c r="C419" t="str">
        <f>"S82.391"</f>
        <v>S82.391</v>
      </c>
      <c r="D419" t="s">
        <v>419</v>
      </c>
    </row>
    <row r="420" spans="1:4" x14ac:dyDescent="0.55000000000000004">
      <c r="A420">
        <v>8</v>
      </c>
      <c r="B420" t="s">
        <v>1439</v>
      </c>
      <c r="C420" t="str">
        <f>"S82.41"</f>
        <v>S82.41</v>
      </c>
      <c r="D420" t="s">
        <v>420</v>
      </c>
    </row>
    <row r="421" spans="1:4" x14ac:dyDescent="0.55000000000000004">
      <c r="A421">
        <v>8</v>
      </c>
      <c r="B421" t="s">
        <v>1439</v>
      </c>
      <c r="C421" t="str">
        <f>"S84.0"</f>
        <v>S84.0</v>
      </c>
      <c r="D421" t="s">
        <v>421</v>
      </c>
    </row>
    <row r="422" spans="1:4" x14ac:dyDescent="0.55000000000000004">
      <c r="A422">
        <v>8</v>
      </c>
      <c r="B422" t="s">
        <v>1439</v>
      </c>
      <c r="C422" t="str">
        <f>"S84.1"</f>
        <v>S84.1</v>
      </c>
      <c r="D422" t="s">
        <v>422</v>
      </c>
    </row>
    <row r="423" spans="1:4" x14ac:dyDescent="0.55000000000000004">
      <c r="A423">
        <v>8</v>
      </c>
      <c r="B423" t="s">
        <v>1439</v>
      </c>
      <c r="C423" t="str">
        <f>"S85.0"</f>
        <v>S85.0</v>
      </c>
      <c r="D423" t="s">
        <v>423</v>
      </c>
    </row>
    <row r="424" spans="1:4" x14ac:dyDescent="0.55000000000000004">
      <c r="A424">
        <v>8</v>
      </c>
      <c r="B424" t="s">
        <v>1439</v>
      </c>
      <c r="C424" t="str">
        <f>"S85.1"</f>
        <v>S85.1</v>
      </c>
      <c r="D424" t="s">
        <v>424</v>
      </c>
    </row>
    <row r="425" spans="1:4" x14ac:dyDescent="0.55000000000000004">
      <c r="A425">
        <v>8</v>
      </c>
      <c r="B425" t="s">
        <v>1439</v>
      </c>
      <c r="C425" t="str">
        <f>"S85.2"</f>
        <v>S85.2</v>
      </c>
      <c r="D425" t="s">
        <v>425</v>
      </c>
    </row>
    <row r="426" spans="1:4" x14ac:dyDescent="0.55000000000000004">
      <c r="A426">
        <v>8</v>
      </c>
      <c r="B426" t="s">
        <v>1439</v>
      </c>
      <c r="C426" t="str">
        <f>"S85.5"</f>
        <v>S85.5</v>
      </c>
      <c r="D426" t="s">
        <v>426</v>
      </c>
    </row>
    <row r="427" spans="1:4" x14ac:dyDescent="0.55000000000000004">
      <c r="A427">
        <v>8</v>
      </c>
      <c r="B427" t="s">
        <v>1439</v>
      </c>
      <c r="C427" t="str">
        <f>"S85.8"</f>
        <v>S85.8</v>
      </c>
      <c r="D427" t="s">
        <v>427</v>
      </c>
    </row>
    <row r="428" spans="1:4" x14ac:dyDescent="0.55000000000000004">
      <c r="A428">
        <v>8</v>
      </c>
      <c r="B428" t="s">
        <v>1439</v>
      </c>
      <c r="C428" t="str">
        <f>"S88.0"</f>
        <v>S88.0</v>
      </c>
      <c r="D428" t="s">
        <v>428</v>
      </c>
    </row>
    <row r="429" spans="1:4" x14ac:dyDescent="0.55000000000000004">
      <c r="A429">
        <v>8</v>
      </c>
      <c r="B429" t="s">
        <v>1439</v>
      </c>
      <c r="C429" t="str">
        <f>"S88.1"</f>
        <v>S88.1</v>
      </c>
      <c r="D429" t="s">
        <v>429</v>
      </c>
    </row>
    <row r="430" spans="1:4" x14ac:dyDescent="0.55000000000000004">
      <c r="A430">
        <v>8</v>
      </c>
      <c r="B430" t="s">
        <v>1439</v>
      </c>
      <c r="C430" t="str">
        <f>"S88.9"</f>
        <v>S88.9</v>
      </c>
      <c r="D430" t="s">
        <v>430</v>
      </c>
    </row>
    <row r="431" spans="1:4" x14ac:dyDescent="0.55000000000000004">
      <c r="A431">
        <v>8</v>
      </c>
      <c r="B431" t="s">
        <v>1439</v>
      </c>
      <c r="C431" t="str">
        <f>"S94.2"</f>
        <v>S94.2</v>
      </c>
      <c r="D431" t="s">
        <v>431</v>
      </c>
    </row>
    <row r="432" spans="1:4" x14ac:dyDescent="0.55000000000000004">
      <c r="A432">
        <v>8</v>
      </c>
      <c r="B432" t="s">
        <v>1439</v>
      </c>
      <c r="C432" t="str">
        <f>"S98.0"</f>
        <v>S98.0</v>
      </c>
      <c r="D432" t="s">
        <v>432</v>
      </c>
    </row>
    <row r="433" spans="1:4" x14ac:dyDescent="0.55000000000000004">
      <c r="A433">
        <v>8</v>
      </c>
      <c r="B433" t="s">
        <v>1439</v>
      </c>
      <c r="C433" t="str">
        <f>"T02.31"</f>
        <v>T02.31</v>
      </c>
      <c r="D433" t="s">
        <v>433</v>
      </c>
    </row>
    <row r="434" spans="1:4" x14ac:dyDescent="0.55000000000000004">
      <c r="A434">
        <v>8</v>
      </c>
      <c r="B434" t="s">
        <v>1439</v>
      </c>
      <c r="C434" t="str">
        <f>"T02.5"</f>
        <v>T02.5</v>
      </c>
      <c r="D434" t="s">
        <v>434</v>
      </c>
    </row>
    <row r="435" spans="1:4" x14ac:dyDescent="0.55000000000000004">
      <c r="A435">
        <v>8</v>
      </c>
      <c r="B435" t="s">
        <v>1439</v>
      </c>
      <c r="C435" t="str">
        <f>"T02.50"</f>
        <v>T02.50</v>
      </c>
      <c r="D435" t="s">
        <v>435</v>
      </c>
    </row>
    <row r="436" spans="1:4" x14ac:dyDescent="0.55000000000000004">
      <c r="A436">
        <v>8</v>
      </c>
      <c r="B436" t="s">
        <v>1439</v>
      </c>
      <c r="C436" t="str">
        <f>"T02.51"</f>
        <v>T02.51</v>
      </c>
      <c r="D436" t="s">
        <v>436</v>
      </c>
    </row>
    <row r="437" spans="1:4" x14ac:dyDescent="0.55000000000000004">
      <c r="A437">
        <v>8</v>
      </c>
      <c r="B437" t="s">
        <v>1439</v>
      </c>
      <c r="C437" t="str">
        <f>"T02.6"</f>
        <v>T02.6</v>
      </c>
      <c r="D437" t="s">
        <v>437</v>
      </c>
    </row>
    <row r="438" spans="1:4" x14ac:dyDescent="0.55000000000000004">
      <c r="A438">
        <v>8</v>
      </c>
      <c r="B438" t="s">
        <v>1439</v>
      </c>
      <c r="C438" t="str">
        <f>"T02.60"</f>
        <v>T02.60</v>
      </c>
      <c r="D438" t="s">
        <v>438</v>
      </c>
    </row>
    <row r="439" spans="1:4" x14ac:dyDescent="0.55000000000000004">
      <c r="A439">
        <v>8</v>
      </c>
      <c r="B439" t="s">
        <v>1439</v>
      </c>
      <c r="C439" t="str">
        <f>"T02.61"</f>
        <v>T02.61</v>
      </c>
      <c r="D439" t="s">
        <v>439</v>
      </c>
    </row>
    <row r="440" spans="1:4" x14ac:dyDescent="0.55000000000000004">
      <c r="A440">
        <v>8</v>
      </c>
      <c r="B440" t="s">
        <v>1439</v>
      </c>
      <c r="C440" t="str">
        <f>"T02.7"</f>
        <v>T02.7</v>
      </c>
      <c r="D440" t="s">
        <v>440</v>
      </c>
    </row>
    <row r="441" spans="1:4" x14ac:dyDescent="0.55000000000000004">
      <c r="A441">
        <v>8</v>
      </c>
      <c r="B441" t="s">
        <v>1439</v>
      </c>
      <c r="C441" t="str">
        <f>"T02.70"</f>
        <v>T02.70</v>
      </c>
      <c r="D441" t="s">
        <v>441</v>
      </c>
    </row>
    <row r="442" spans="1:4" x14ac:dyDescent="0.55000000000000004">
      <c r="A442">
        <v>8</v>
      </c>
      <c r="B442" t="s">
        <v>1439</v>
      </c>
      <c r="C442" t="str">
        <f>"T02.71"</f>
        <v>T02.71</v>
      </c>
      <c r="D442" t="s">
        <v>442</v>
      </c>
    </row>
    <row r="443" spans="1:4" x14ac:dyDescent="0.55000000000000004">
      <c r="A443">
        <v>8</v>
      </c>
      <c r="B443" t="s">
        <v>1439</v>
      </c>
      <c r="C443" t="str">
        <f>"T02.8"</f>
        <v>T02.8</v>
      </c>
      <c r="D443" t="s">
        <v>443</v>
      </c>
    </row>
    <row r="444" spans="1:4" x14ac:dyDescent="0.55000000000000004">
      <c r="A444">
        <v>8</v>
      </c>
      <c r="B444" t="s">
        <v>1439</v>
      </c>
      <c r="C444" t="str">
        <f>"T02.80"</f>
        <v>T02.80</v>
      </c>
      <c r="D444" t="s">
        <v>444</v>
      </c>
    </row>
    <row r="445" spans="1:4" x14ac:dyDescent="0.55000000000000004">
      <c r="A445">
        <v>8</v>
      </c>
      <c r="B445" t="s">
        <v>1439</v>
      </c>
      <c r="C445" t="str">
        <f>"T02.81"</f>
        <v>T02.81</v>
      </c>
      <c r="D445" t="s">
        <v>445</v>
      </c>
    </row>
    <row r="446" spans="1:4" x14ac:dyDescent="0.55000000000000004">
      <c r="A446">
        <v>8</v>
      </c>
      <c r="B446" t="s">
        <v>1439</v>
      </c>
      <c r="C446" t="str">
        <f>"T05.3"</f>
        <v>T05.3</v>
      </c>
      <c r="D446" t="s">
        <v>446</v>
      </c>
    </row>
    <row r="447" spans="1:4" x14ac:dyDescent="0.55000000000000004">
      <c r="A447">
        <v>8</v>
      </c>
      <c r="B447" t="s">
        <v>1439</v>
      </c>
      <c r="C447" t="str">
        <f>"T05.4"</f>
        <v>T05.4</v>
      </c>
      <c r="D447" t="s">
        <v>447</v>
      </c>
    </row>
    <row r="448" spans="1:4" x14ac:dyDescent="0.55000000000000004">
      <c r="A448">
        <v>8</v>
      </c>
      <c r="B448" t="s">
        <v>1439</v>
      </c>
      <c r="C448" t="str">
        <f>"T05.5"</f>
        <v>T05.5</v>
      </c>
      <c r="D448" t="s">
        <v>448</v>
      </c>
    </row>
    <row r="449" spans="1:4" x14ac:dyDescent="0.55000000000000004">
      <c r="A449">
        <v>8</v>
      </c>
      <c r="B449" t="s">
        <v>1439</v>
      </c>
      <c r="C449" t="str">
        <f>"T05.6"</f>
        <v>T05.6</v>
      </c>
      <c r="D449" t="s">
        <v>449</v>
      </c>
    </row>
    <row r="450" spans="1:4" x14ac:dyDescent="0.55000000000000004">
      <c r="A450">
        <v>8</v>
      </c>
      <c r="B450" t="s">
        <v>1439</v>
      </c>
      <c r="C450" t="str">
        <f>"T05.8"</f>
        <v>T05.8</v>
      </c>
      <c r="D450" t="s">
        <v>450</v>
      </c>
    </row>
    <row r="451" spans="1:4" x14ac:dyDescent="0.55000000000000004">
      <c r="A451">
        <v>0</v>
      </c>
      <c r="B451" t="s">
        <v>1440</v>
      </c>
      <c r="C451" t="str">
        <f>"S00.0"</f>
        <v>S00.0</v>
      </c>
      <c r="D451" t="s">
        <v>451</v>
      </c>
    </row>
    <row r="452" spans="1:4" x14ac:dyDescent="0.55000000000000004">
      <c r="A452">
        <v>0</v>
      </c>
      <c r="B452" t="s">
        <v>1440</v>
      </c>
      <c r="C452" t="str">
        <f>"S00.1"</f>
        <v>S00.1</v>
      </c>
      <c r="D452" t="s">
        <v>452</v>
      </c>
    </row>
    <row r="453" spans="1:4" x14ac:dyDescent="0.55000000000000004">
      <c r="A453">
        <v>0</v>
      </c>
      <c r="B453" t="s">
        <v>1440</v>
      </c>
      <c r="C453" t="str">
        <f>"S00.2"</f>
        <v>S00.2</v>
      </c>
      <c r="D453" t="s">
        <v>453</v>
      </c>
    </row>
    <row r="454" spans="1:4" x14ac:dyDescent="0.55000000000000004">
      <c r="A454">
        <v>0</v>
      </c>
      <c r="B454" t="s">
        <v>1440</v>
      </c>
      <c r="C454" t="str">
        <f>"S00.3"</f>
        <v>S00.3</v>
      </c>
      <c r="D454" t="s">
        <v>454</v>
      </c>
    </row>
    <row r="455" spans="1:4" x14ac:dyDescent="0.55000000000000004">
      <c r="A455">
        <v>0</v>
      </c>
      <c r="B455" t="s">
        <v>1440</v>
      </c>
      <c r="C455" t="str">
        <f>"S00.4"</f>
        <v>S00.4</v>
      </c>
      <c r="D455" t="s">
        <v>455</v>
      </c>
    </row>
    <row r="456" spans="1:4" x14ac:dyDescent="0.55000000000000004">
      <c r="A456">
        <v>0</v>
      </c>
      <c r="B456" t="s">
        <v>1440</v>
      </c>
      <c r="C456" t="str">
        <f>"S00.50"</f>
        <v>S00.50</v>
      </c>
      <c r="D456" t="s">
        <v>456</v>
      </c>
    </row>
    <row r="457" spans="1:4" x14ac:dyDescent="0.55000000000000004">
      <c r="A457">
        <v>0</v>
      </c>
      <c r="B457" t="s">
        <v>1440</v>
      </c>
      <c r="C457" t="str">
        <f>"S00.51"</f>
        <v>S00.51</v>
      </c>
      <c r="D457" t="s">
        <v>457</v>
      </c>
    </row>
    <row r="458" spans="1:4" x14ac:dyDescent="0.55000000000000004">
      <c r="A458">
        <v>0</v>
      </c>
      <c r="B458" t="s">
        <v>1440</v>
      </c>
      <c r="C458" t="str">
        <f>"S00.52"</f>
        <v>S00.52</v>
      </c>
      <c r="D458" t="s">
        <v>458</v>
      </c>
    </row>
    <row r="459" spans="1:4" x14ac:dyDescent="0.55000000000000004">
      <c r="A459">
        <v>0</v>
      </c>
      <c r="B459" t="s">
        <v>1440</v>
      </c>
      <c r="C459" t="str">
        <f>"S00.59"</f>
        <v>S00.59</v>
      </c>
      <c r="D459" t="s">
        <v>459</v>
      </c>
    </row>
    <row r="460" spans="1:4" x14ac:dyDescent="0.55000000000000004">
      <c r="A460">
        <v>0</v>
      </c>
      <c r="B460" t="s">
        <v>1440</v>
      </c>
      <c r="C460" t="str">
        <f>"S00.7"</f>
        <v>S00.7</v>
      </c>
      <c r="D460" t="s">
        <v>460</v>
      </c>
    </row>
    <row r="461" spans="1:4" x14ac:dyDescent="0.55000000000000004">
      <c r="A461">
        <v>0</v>
      </c>
      <c r="B461" t="s">
        <v>1440</v>
      </c>
      <c r="C461" t="str">
        <f>"S00.8"</f>
        <v>S00.8</v>
      </c>
      <c r="D461" t="s">
        <v>461</v>
      </c>
    </row>
    <row r="462" spans="1:4" x14ac:dyDescent="0.55000000000000004">
      <c r="A462">
        <v>0</v>
      </c>
      <c r="B462" t="s">
        <v>1440</v>
      </c>
      <c r="C462" t="str">
        <f>"S00.9"</f>
        <v>S00.9</v>
      </c>
      <c r="D462" t="s">
        <v>462</v>
      </c>
    </row>
    <row r="463" spans="1:4" x14ac:dyDescent="0.55000000000000004">
      <c r="A463">
        <v>0</v>
      </c>
      <c r="B463" t="s">
        <v>1440</v>
      </c>
      <c r="C463" t="str">
        <f>"S01.0"</f>
        <v>S01.0</v>
      </c>
      <c r="D463" t="s">
        <v>463</v>
      </c>
    </row>
    <row r="464" spans="1:4" x14ac:dyDescent="0.55000000000000004">
      <c r="A464">
        <v>0</v>
      </c>
      <c r="B464" t="s">
        <v>1440</v>
      </c>
      <c r="C464" t="str">
        <f>"S01.1"</f>
        <v>S01.1</v>
      </c>
      <c r="D464" t="s">
        <v>464</v>
      </c>
    </row>
    <row r="465" spans="1:4" x14ac:dyDescent="0.55000000000000004">
      <c r="A465">
        <v>0</v>
      </c>
      <c r="B465" t="s">
        <v>1440</v>
      </c>
      <c r="C465" t="str">
        <f>"S01.2"</f>
        <v>S01.2</v>
      </c>
      <c r="D465" t="s">
        <v>465</v>
      </c>
    </row>
    <row r="466" spans="1:4" x14ac:dyDescent="0.55000000000000004">
      <c r="A466">
        <v>0</v>
      </c>
      <c r="B466" t="s">
        <v>1440</v>
      </c>
      <c r="C466" t="str">
        <f>"S01.3"</f>
        <v>S01.3</v>
      </c>
      <c r="D466" t="s">
        <v>466</v>
      </c>
    </row>
    <row r="467" spans="1:4" x14ac:dyDescent="0.55000000000000004">
      <c r="A467">
        <v>0</v>
      </c>
      <c r="B467" t="s">
        <v>1440</v>
      </c>
      <c r="C467" t="str">
        <f>"S01.40"</f>
        <v>S01.40</v>
      </c>
      <c r="D467" t="s">
        <v>467</v>
      </c>
    </row>
    <row r="468" spans="1:4" x14ac:dyDescent="0.55000000000000004">
      <c r="A468">
        <v>0</v>
      </c>
      <c r="B468" t="s">
        <v>1440</v>
      </c>
      <c r="C468" t="str">
        <f>"S01.41"</f>
        <v>S01.41</v>
      </c>
      <c r="D468" t="s">
        <v>468</v>
      </c>
    </row>
    <row r="469" spans="1:4" x14ac:dyDescent="0.55000000000000004">
      <c r="A469">
        <v>0</v>
      </c>
      <c r="B469" t="s">
        <v>1440</v>
      </c>
      <c r="C469" t="str">
        <f>"S01.47"</f>
        <v>S01.47</v>
      </c>
      <c r="D469" t="s">
        <v>469</v>
      </c>
    </row>
    <row r="470" spans="1:4" x14ac:dyDescent="0.55000000000000004">
      <c r="A470">
        <v>0</v>
      </c>
      <c r="B470" t="s">
        <v>1440</v>
      </c>
      <c r="C470" t="str">
        <f>"S01.50"</f>
        <v>S01.50</v>
      </c>
      <c r="D470" t="s">
        <v>470</v>
      </c>
    </row>
    <row r="471" spans="1:4" x14ac:dyDescent="0.55000000000000004">
      <c r="A471">
        <v>0</v>
      </c>
      <c r="B471" t="s">
        <v>1440</v>
      </c>
      <c r="C471" t="str">
        <f>"S01.51"</f>
        <v>S01.51</v>
      </c>
      <c r="D471" t="s">
        <v>471</v>
      </c>
    </row>
    <row r="472" spans="1:4" x14ac:dyDescent="0.55000000000000004">
      <c r="A472">
        <v>0</v>
      </c>
      <c r="B472" t="s">
        <v>1440</v>
      </c>
      <c r="C472" t="str">
        <f>"S01.57"</f>
        <v>S01.57</v>
      </c>
      <c r="D472" t="s">
        <v>472</v>
      </c>
    </row>
    <row r="473" spans="1:4" x14ac:dyDescent="0.55000000000000004">
      <c r="A473">
        <v>0</v>
      </c>
      <c r="B473" t="s">
        <v>1440</v>
      </c>
      <c r="C473" t="str">
        <f>"S01.7"</f>
        <v>S01.7</v>
      </c>
      <c r="D473" t="s">
        <v>473</v>
      </c>
    </row>
    <row r="474" spans="1:4" x14ac:dyDescent="0.55000000000000004">
      <c r="A474">
        <v>0</v>
      </c>
      <c r="B474" t="s">
        <v>1440</v>
      </c>
      <c r="C474" t="str">
        <f>"S01.8"</f>
        <v>S01.8</v>
      </c>
      <c r="D474" t="s">
        <v>474</v>
      </c>
    </row>
    <row r="475" spans="1:4" x14ac:dyDescent="0.55000000000000004">
      <c r="A475">
        <v>0</v>
      </c>
      <c r="B475" t="s">
        <v>1440</v>
      </c>
      <c r="C475" t="str">
        <f>"S01.9"</f>
        <v>S01.9</v>
      </c>
      <c r="D475" t="s">
        <v>475</v>
      </c>
    </row>
    <row r="476" spans="1:4" x14ac:dyDescent="0.55000000000000004">
      <c r="A476">
        <v>0</v>
      </c>
      <c r="B476" t="s">
        <v>1440</v>
      </c>
      <c r="C476" t="str">
        <f>"S02.0"</f>
        <v>S02.0</v>
      </c>
      <c r="D476" t="s">
        <v>476</v>
      </c>
    </row>
    <row r="477" spans="1:4" x14ac:dyDescent="0.55000000000000004">
      <c r="A477">
        <v>0</v>
      </c>
      <c r="B477" t="s">
        <v>1440</v>
      </c>
      <c r="C477" t="str">
        <f>"S02.00"</f>
        <v>S02.00</v>
      </c>
      <c r="D477" t="s">
        <v>477</v>
      </c>
    </row>
    <row r="478" spans="1:4" x14ac:dyDescent="0.55000000000000004">
      <c r="A478">
        <v>0</v>
      </c>
      <c r="B478" t="s">
        <v>1440</v>
      </c>
      <c r="C478" t="str">
        <f>"S02.01"</f>
        <v>S02.01</v>
      </c>
      <c r="D478" t="s">
        <v>478</v>
      </c>
    </row>
    <row r="479" spans="1:4" x14ac:dyDescent="0.55000000000000004">
      <c r="A479">
        <v>0</v>
      </c>
      <c r="B479" t="s">
        <v>1440</v>
      </c>
      <c r="C479" t="str">
        <f>"S02.1"</f>
        <v>S02.1</v>
      </c>
      <c r="D479" t="s">
        <v>479</v>
      </c>
    </row>
    <row r="480" spans="1:4" x14ac:dyDescent="0.55000000000000004">
      <c r="A480">
        <v>0</v>
      </c>
      <c r="B480" t="s">
        <v>1440</v>
      </c>
      <c r="C480" t="str">
        <f>"S02.10"</f>
        <v>S02.10</v>
      </c>
      <c r="D480" t="s">
        <v>480</v>
      </c>
    </row>
    <row r="481" spans="1:4" x14ac:dyDescent="0.55000000000000004">
      <c r="A481">
        <v>0</v>
      </c>
      <c r="B481" t="s">
        <v>1440</v>
      </c>
      <c r="C481" t="str">
        <f>"S02.11"</f>
        <v>S02.11</v>
      </c>
      <c r="D481" t="s">
        <v>481</v>
      </c>
    </row>
    <row r="482" spans="1:4" x14ac:dyDescent="0.55000000000000004">
      <c r="A482">
        <v>0</v>
      </c>
      <c r="B482" t="s">
        <v>1440</v>
      </c>
      <c r="C482" t="str">
        <f>"S02.2"</f>
        <v>S02.2</v>
      </c>
      <c r="D482" t="s">
        <v>482</v>
      </c>
    </row>
    <row r="483" spans="1:4" x14ac:dyDescent="0.55000000000000004">
      <c r="A483">
        <v>0</v>
      </c>
      <c r="B483" t="s">
        <v>1440</v>
      </c>
      <c r="C483" t="str">
        <f>"S02.20"</f>
        <v>S02.20</v>
      </c>
      <c r="D483" t="s">
        <v>483</v>
      </c>
    </row>
    <row r="484" spans="1:4" x14ac:dyDescent="0.55000000000000004">
      <c r="A484">
        <v>0</v>
      </c>
      <c r="B484" t="s">
        <v>1440</v>
      </c>
      <c r="C484" t="str">
        <f>"S02.21"</f>
        <v>S02.21</v>
      </c>
      <c r="D484" t="s">
        <v>484</v>
      </c>
    </row>
    <row r="485" spans="1:4" x14ac:dyDescent="0.55000000000000004">
      <c r="A485">
        <v>0</v>
      </c>
      <c r="B485" t="s">
        <v>1440</v>
      </c>
      <c r="C485" t="str">
        <f>"S02.3"</f>
        <v>S02.3</v>
      </c>
      <c r="D485" t="s">
        <v>485</v>
      </c>
    </row>
    <row r="486" spans="1:4" x14ac:dyDescent="0.55000000000000004">
      <c r="A486">
        <v>0</v>
      </c>
      <c r="B486" t="s">
        <v>1440</v>
      </c>
      <c r="C486" t="str">
        <f>"S02.30"</f>
        <v>S02.30</v>
      </c>
      <c r="D486" t="s">
        <v>486</v>
      </c>
    </row>
    <row r="487" spans="1:4" x14ac:dyDescent="0.55000000000000004">
      <c r="A487">
        <v>0</v>
      </c>
      <c r="B487" t="s">
        <v>1440</v>
      </c>
      <c r="C487" t="str">
        <f>"S02.31"</f>
        <v>S02.31</v>
      </c>
      <c r="D487" t="s">
        <v>487</v>
      </c>
    </row>
    <row r="488" spans="1:4" x14ac:dyDescent="0.55000000000000004">
      <c r="A488">
        <v>0</v>
      </c>
      <c r="B488" t="s">
        <v>1440</v>
      </c>
      <c r="C488" t="str">
        <f>"S02.40"</f>
        <v>S02.40</v>
      </c>
      <c r="D488" t="s">
        <v>488</v>
      </c>
    </row>
    <row r="489" spans="1:4" x14ac:dyDescent="0.55000000000000004">
      <c r="A489">
        <v>0</v>
      </c>
      <c r="B489" t="s">
        <v>1440</v>
      </c>
      <c r="C489" t="str">
        <f>"S02.400"</f>
        <v>S02.400</v>
      </c>
      <c r="D489" t="s">
        <v>489</v>
      </c>
    </row>
    <row r="490" spans="1:4" x14ac:dyDescent="0.55000000000000004">
      <c r="A490">
        <v>0</v>
      </c>
      <c r="B490" t="s">
        <v>1440</v>
      </c>
      <c r="C490" t="str">
        <f>"S02.401"</f>
        <v>S02.401</v>
      </c>
      <c r="D490" t="s">
        <v>490</v>
      </c>
    </row>
    <row r="491" spans="1:4" x14ac:dyDescent="0.55000000000000004">
      <c r="A491">
        <v>0</v>
      </c>
      <c r="B491" t="s">
        <v>1440</v>
      </c>
      <c r="C491" t="str">
        <f>"S02.41"</f>
        <v>S02.41</v>
      </c>
      <c r="D491" t="s">
        <v>491</v>
      </c>
    </row>
    <row r="492" spans="1:4" x14ac:dyDescent="0.55000000000000004">
      <c r="A492">
        <v>0</v>
      </c>
      <c r="B492" t="s">
        <v>1440</v>
      </c>
      <c r="C492" t="str">
        <f>"S02.410"</f>
        <v>S02.410</v>
      </c>
      <c r="D492" t="s">
        <v>492</v>
      </c>
    </row>
    <row r="493" spans="1:4" x14ac:dyDescent="0.55000000000000004">
      <c r="A493">
        <v>0</v>
      </c>
      <c r="B493" t="s">
        <v>1440</v>
      </c>
      <c r="C493" t="str">
        <f>"S02.411"</f>
        <v>S02.411</v>
      </c>
      <c r="D493" t="s">
        <v>493</v>
      </c>
    </row>
    <row r="494" spans="1:4" x14ac:dyDescent="0.55000000000000004">
      <c r="A494">
        <v>0</v>
      </c>
      <c r="B494" t="s">
        <v>1440</v>
      </c>
      <c r="C494" t="str">
        <f>"S02.420"</f>
        <v>S02.420</v>
      </c>
      <c r="D494" t="s">
        <v>494</v>
      </c>
    </row>
    <row r="495" spans="1:4" x14ac:dyDescent="0.55000000000000004">
      <c r="A495">
        <v>0</v>
      </c>
      <c r="B495" t="s">
        <v>1440</v>
      </c>
      <c r="C495" t="str">
        <f>"S02.421"</f>
        <v>S02.421</v>
      </c>
      <c r="D495" t="s">
        <v>495</v>
      </c>
    </row>
    <row r="496" spans="1:4" x14ac:dyDescent="0.55000000000000004">
      <c r="A496">
        <v>0</v>
      </c>
      <c r="B496" t="s">
        <v>1440</v>
      </c>
      <c r="C496" t="str">
        <f>"S02.470"</f>
        <v>S02.470</v>
      </c>
      <c r="D496" t="s">
        <v>496</v>
      </c>
    </row>
    <row r="497" spans="1:4" x14ac:dyDescent="0.55000000000000004">
      <c r="A497">
        <v>0</v>
      </c>
      <c r="B497" t="s">
        <v>1440</v>
      </c>
      <c r="C497" t="str">
        <f>"S02.471"</f>
        <v>S02.471</v>
      </c>
      <c r="D497" t="s">
        <v>497</v>
      </c>
    </row>
    <row r="498" spans="1:4" x14ac:dyDescent="0.55000000000000004">
      <c r="A498">
        <v>0</v>
      </c>
      <c r="B498" t="s">
        <v>1440</v>
      </c>
      <c r="C498" t="str">
        <f>"S02.5"</f>
        <v>S02.5</v>
      </c>
      <c r="D498" t="s">
        <v>498</v>
      </c>
    </row>
    <row r="499" spans="1:4" x14ac:dyDescent="0.55000000000000004">
      <c r="A499">
        <v>0</v>
      </c>
      <c r="B499" t="s">
        <v>1440</v>
      </c>
      <c r="C499" t="str">
        <f>"S02.50"</f>
        <v>S02.50</v>
      </c>
      <c r="D499" t="s">
        <v>499</v>
      </c>
    </row>
    <row r="500" spans="1:4" x14ac:dyDescent="0.55000000000000004">
      <c r="A500">
        <v>0</v>
      </c>
      <c r="B500" t="s">
        <v>1440</v>
      </c>
      <c r="C500" t="str">
        <f>"S02.51"</f>
        <v>S02.51</v>
      </c>
      <c r="D500" t="s">
        <v>500</v>
      </c>
    </row>
    <row r="501" spans="1:4" x14ac:dyDescent="0.55000000000000004">
      <c r="A501">
        <v>0</v>
      </c>
      <c r="B501" t="s">
        <v>1440</v>
      </c>
      <c r="C501" t="str">
        <f>"S02.6"</f>
        <v>S02.6</v>
      </c>
      <c r="D501" t="s">
        <v>501</v>
      </c>
    </row>
    <row r="502" spans="1:4" x14ac:dyDescent="0.55000000000000004">
      <c r="A502">
        <v>0</v>
      </c>
      <c r="B502" t="s">
        <v>1440</v>
      </c>
      <c r="C502" t="str">
        <f>"S02.601"</f>
        <v>S02.601</v>
      </c>
      <c r="D502" t="s">
        <v>502</v>
      </c>
    </row>
    <row r="503" spans="1:4" x14ac:dyDescent="0.55000000000000004">
      <c r="A503">
        <v>0</v>
      </c>
      <c r="B503" t="s">
        <v>1440</v>
      </c>
      <c r="C503" t="str">
        <f>"S02.610"</f>
        <v>S02.610</v>
      </c>
      <c r="D503" t="s">
        <v>503</v>
      </c>
    </row>
    <row r="504" spans="1:4" x14ac:dyDescent="0.55000000000000004">
      <c r="A504">
        <v>0</v>
      </c>
      <c r="B504" t="s">
        <v>1440</v>
      </c>
      <c r="C504" t="str">
        <f>"S02.611"</f>
        <v>S02.611</v>
      </c>
      <c r="D504" t="s">
        <v>504</v>
      </c>
    </row>
    <row r="505" spans="1:4" x14ac:dyDescent="0.55000000000000004">
      <c r="A505">
        <v>0</v>
      </c>
      <c r="B505" t="s">
        <v>1440</v>
      </c>
      <c r="C505" t="str">
        <f>"S02.620"</f>
        <v>S02.620</v>
      </c>
      <c r="D505" t="s">
        <v>505</v>
      </c>
    </row>
    <row r="506" spans="1:4" x14ac:dyDescent="0.55000000000000004">
      <c r="A506">
        <v>0</v>
      </c>
      <c r="B506" t="s">
        <v>1440</v>
      </c>
      <c r="C506" t="str">
        <f>"S02.621"</f>
        <v>S02.621</v>
      </c>
      <c r="D506" t="s">
        <v>506</v>
      </c>
    </row>
    <row r="507" spans="1:4" x14ac:dyDescent="0.55000000000000004">
      <c r="A507">
        <v>0</v>
      </c>
      <c r="B507" t="s">
        <v>1440</v>
      </c>
      <c r="C507" t="str">
        <f>"S02.630"</f>
        <v>S02.630</v>
      </c>
      <c r="D507" t="s">
        <v>507</v>
      </c>
    </row>
    <row r="508" spans="1:4" x14ac:dyDescent="0.55000000000000004">
      <c r="A508">
        <v>0</v>
      </c>
      <c r="B508" t="s">
        <v>1440</v>
      </c>
      <c r="C508" t="str">
        <f>"S02.631"</f>
        <v>S02.631</v>
      </c>
      <c r="D508" t="s">
        <v>508</v>
      </c>
    </row>
    <row r="509" spans="1:4" x14ac:dyDescent="0.55000000000000004">
      <c r="A509">
        <v>0</v>
      </c>
      <c r="B509" t="s">
        <v>1440</v>
      </c>
      <c r="C509" t="str">
        <f>"S02.640"</f>
        <v>S02.640</v>
      </c>
      <c r="D509" t="s">
        <v>509</v>
      </c>
    </row>
    <row r="510" spans="1:4" x14ac:dyDescent="0.55000000000000004">
      <c r="A510">
        <v>0</v>
      </c>
      <c r="B510" t="s">
        <v>1440</v>
      </c>
      <c r="C510" t="str">
        <f>"S02.641"</f>
        <v>S02.641</v>
      </c>
      <c r="D510" t="s">
        <v>510</v>
      </c>
    </row>
    <row r="511" spans="1:4" x14ac:dyDescent="0.55000000000000004">
      <c r="A511">
        <v>0</v>
      </c>
      <c r="B511" t="s">
        <v>1440</v>
      </c>
      <c r="C511" t="str">
        <f>"S02.650"</f>
        <v>S02.650</v>
      </c>
      <c r="D511" t="s">
        <v>511</v>
      </c>
    </row>
    <row r="512" spans="1:4" x14ac:dyDescent="0.55000000000000004">
      <c r="A512">
        <v>0</v>
      </c>
      <c r="B512" t="s">
        <v>1440</v>
      </c>
      <c r="C512" t="str">
        <f>"S02.651"</f>
        <v>S02.651</v>
      </c>
      <c r="D512" t="s">
        <v>512</v>
      </c>
    </row>
    <row r="513" spans="1:4" x14ac:dyDescent="0.55000000000000004">
      <c r="A513">
        <v>0</v>
      </c>
      <c r="B513" t="s">
        <v>1440</v>
      </c>
      <c r="C513" t="str">
        <f>"S02.660"</f>
        <v>S02.660</v>
      </c>
      <c r="D513" t="s">
        <v>513</v>
      </c>
    </row>
    <row r="514" spans="1:4" x14ac:dyDescent="0.55000000000000004">
      <c r="A514">
        <v>0</v>
      </c>
      <c r="B514" t="s">
        <v>1440</v>
      </c>
      <c r="C514" t="str">
        <f>"S02.661"</f>
        <v>S02.661</v>
      </c>
      <c r="D514" t="s">
        <v>514</v>
      </c>
    </row>
    <row r="515" spans="1:4" x14ac:dyDescent="0.55000000000000004">
      <c r="A515">
        <v>0</v>
      </c>
      <c r="B515" t="s">
        <v>1440</v>
      </c>
      <c r="C515" t="str">
        <f>"S02.670"</f>
        <v>S02.670</v>
      </c>
      <c r="D515" t="s">
        <v>515</v>
      </c>
    </row>
    <row r="516" spans="1:4" x14ac:dyDescent="0.55000000000000004">
      <c r="A516">
        <v>0</v>
      </c>
      <c r="B516" t="s">
        <v>1440</v>
      </c>
      <c r="C516" t="str">
        <f>"S02.671"</f>
        <v>S02.671</v>
      </c>
      <c r="D516" t="s">
        <v>516</v>
      </c>
    </row>
    <row r="517" spans="1:4" x14ac:dyDescent="0.55000000000000004">
      <c r="A517">
        <v>0</v>
      </c>
      <c r="B517" t="s">
        <v>1440</v>
      </c>
      <c r="C517" t="str">
        <f>"S02.690"</f>
        <v>S02.690</v>
      </c>
      <c r="D517" t="s">
        <v>517</v>
      </c>
    </row>
    <row r="518" spans="1:4" x14ac:dyDescent="0.55000000000000004">
      <c r="A518">
        <v>0</v>
      </c>
      <c r="B518" t="s">
        <v>1440</v>
      </c>
      <c r="C518" t="str">
        <f>"S02.691"</f>
        <v>S02.691</v>
      </c>
      <c r="D518" t="s">
        <v>518</v>
      </c>
    </row>
    <row r="519" spans="1:4" x14ac:dyDescent="0.55000000000000004">
      <c r="A519">
        <v>0</v>
      </c>
      <c r="B519" t="s">
        <v>1440</v>
      </c>
      <c r="C519" t="str">
        <f>"S02.7"</f>
        <v>S02.7</v>
      </c>
      <c r="D519" t="s">
        <v>519</v>
      </c>
    </row>
    <row r="520" spans="1:4" x14ac:dyDescent="0.55000000000000004">
      <c r="A520">
        <v>0</v>
      </c>
      <c r="B520" t="s">
        <v>1440</v>
      </c>
      <c r="C520" t="str">
        <f>"S02.70"</f>
        <v>S02.70</v>
      </c>
      <c r="D520" t="s">
        <v>520</v>
      </c>
    </row>
    <row r="521" spans="1:4" x14ac:dyDescent="0.55000000000000004">
      <c r="A521">
        <v>0</v>
      </c>
      <c r="B521" t="s">
        <v>1440</v>
      </c>
      <c r="C521" t="str">
        <f>"S02.71"</f>
        <v>S02.71</v>
      </c>
      <c r="D521" t="s">
        <v>521</v>
      </c>
    </row>
    <row r="522" spans="1:4" x14ac:dyDescent="0.55000000000000004">
      <c r="A522">
        <v>0</v>
      </c>
      <c r="B522" t="s">
        <v>1440</v>
      </c>
      <c r="C522" t="str">
        <f>"S02.8"</f>
        <v>S02.8</v>
      </c>
      <c r="D522" t="s">
        <v>522</v>
      </c>
    </row>
    <row r="523" spans="1:4" x14ac:dyDescent="0.55000000000000004">
      <c r="A523">
        <v>0</v>
      </c>
      <c r="B523" t="s">
        <v>1440</v>
      </c>
      <c r="C523" t="str">
        <f>"S02.80"</f>
        <v>S02.80</v>
      </c>
      <c r="D523" t="s">
        <v>523</v>
      </c>
    </row>
    <row r="524" spans="1:4" x14ac:dyDescent="0.55000000000000004">
      <c r="A524">
        <v>0</v>
      </c>
      <c r="B524" t="s">
        <v>1440</v>
      </c>
      <c r="C524" t="str">
        <f>"S02.81"</f>
        <v>S02.81</v>
      </c>
      <c r="D524" t="s">
        <v>524</v>
      </c>
    </row>
    <row r="525" spans="1:4" x14ac:dyDescent="0.55000000000000004">
      <c r="A525">
        <v>0</v>
      </c>
      <c r="B525" t="s">
        <v>1440</v>
      </c>
      <c r="C525" t="str">
        <f>"S02.9"</f>
        <v>S02.9</v>
      </c>
      <c r="D525" t="s">
        <v>525</v>
      </c>
    </row>
    <row r="526" spans="1:4" x14ac:dyDescent="0.55000000000000004">
      <c r="A526">
        <v>0</v>
      </c>
      <c r="B526" t="s">
        <v>1440</v>
      </c>
      <c r="C526" t="str">
        <f>"S02.90"</f>
        <v>S02.90</v>
      </c>
      <c r="D526" t="s">
        <v>526</v>
      </c>
    </row>
    <row r="527" spans="1:4" x14ac:dyDescent="0.55000000000000004">
      <c r="A527">
        <v>0</v>
      </c>
      <c r="B527" t="s">
        <v>1440</v>
      </c>
      <c r="C527" t="str">
        <f>"S02.91"</f>
        <v>S02.91</v>
      </c>
      <c r="D527" t="s">
        <v>527</v>
      </c>
    </row>
    <row r="528" spans="1:4" x14ac:dyDescent="0.55000000000000004">
      <c r="A528">
        <v>0</v>
      </c>
      <c r="B528" t="s">
        <v>1440</v>
      </c>
      <c r="C528" t="str">
        <f>"S03.0"</f>
        <v>S03.0</v>
      </c>
      <c r="D528" t="s">
        <v>528</v>
      </c>
    </row>
    <row r="529" spans="1:4" x14ac:dyDescent="0.55000000000000004">
      <c r="A529">
        <v>0</v>
      </c>
      <c r="B529" t="s">
        <v>1440</v>
      </c>
      <c r="C529" t="str">
        <f>"S03.1"</f>
        <v>S03.1</v>
      </c>
      <c r="D529" t="s">
        <v>529</v>
      </c>
    </row>
    <row r="530" spans="1:4" x14ac:dyDescent="0.55000000000000004">
      <c r="A530">
        <v>0</v>
      </c>
      <c r="B530" t="s">
        <v>1440</v>
      </c>
      <c r="C530" t="str">
        <f>"S03.20"</f>
        <v>S03.20</v>
      </c>
      <c r="D530" t="s">
        <v>530</v>
      </c>
    </row>
    <row r="531" spans="1:4" x14ac:dyDescent="0.55000000000000004">
      <c r="A531">
        <v>0</v>
      </c>
      <c r="B531" t="s">
        <v>1440</v>
      </c>
      <c r="C531" t="str">
        <f>"S03.21"</f>
        <v>S03.21</v>
      </c>
      <c r="D531" t="s">
        <v>531</v>
      </c>
    </row>
    <row r="532" spans="1:4" x14ac:dyDescent="0.55000000000000004">
      <c r="A532">
        <v>0</v>
      </c>
      <c r="B532" t="s">
        <v>1440</v>
      </c>
      <c r="C532" t="str">
        <f>"S03.22"</f>
        <v>S03.22</v>
      </c>
      <c r="D532" t="s">
        <v>532</v>
      </c>
    </row>
    <row r="533" spans="1:4" x14ac:dyDescent="0.55000000000000004">
      <c r="A533">
        <v>0</v>
      </c>
      <c r="B533" t="s">
        <v>1440</v>
      </c>
      <c r="C533" t="str">
        <f>"S03.29"</f>
        <v>S03.29</v>
      </c>
      <c r="D533" t="s">
        <v>533</v>
      </c>
    </row>
    <row r="534" spans="1:4" x14ac:dyDescent="0.55000000000000004">
      <c r="A534">
        <v>0</v>
      </c>
      <c r="B534" t="s">
        <v>1440</v>
      </c>
      <c r="C534" t="str">
        <f>"S03.3"</f>
        <v>S03.3</v>
      </c>
      <c r="D534" t="s">
        <v>534</v>
      </c>
    </row>
    <row r="535" spans="1:4" x14ac:dyDescent="0.55000000000000004">
      <c r="A535">
        <v>0</v>
      </c>
      <c r="B535" t="s">
        <v>1440</v>
      </c>
      <c r="C535" t="str">
        <f>"S03.4"</f>
        <v>S03.4</v>
      </c>
      <c r="D535" t="s">
        <v>535</v>
      </c>
    </row>
    <row r="536" spans="1:4" x14ac:dyDescent="0.55000000000000004">
      <c r="A536">
        <v>0</v>
      </c>
      <c r="B536" t="s">
        <v>1440</v>
      </c>
      <c r="C536" t="str">
        <f>"S03.5"</f>
        <v>S03.5</v>
      </c>
      <c r="D536" t="s">
        <v>536</v>
      </c>
    </row>
    <row r="537" spans="1:4" x14ac:dyDescent="0.55000000000000004">
      <c r="A537">
        <v>0</v>
      </c>
      <c r="B537" t="s">
        <v>1440</v>
      </c>
      <c r="C537" t="str">
        <f>"S04.0"</f>
        <v>S04.0</v>
      </c>
      <c r="D537" t="s">
        <v>537</v>
      </c>
    </row>
    <row r="538" spans="1:4" x14ac:dyDescent="0.55000000000000004">
      <c r="A538">
        <v>0</v>
      </c>
      <c r="B538" t="s">
        <v>1440</v>
      </c>
      <c r="C538" t="str">
        <f>"S04.1"</f>
        <v>S04.1</v>
      </c>
      <c r="D538" t="s">
        <v>538</v>
      </c>
    </row>
    <row r="539" spans="1:4" x14ac:dyDescent="0.55000000000000004">
      <c r="A539">
        <v>0</v>
      </c>
      <c r="B539" t="s">
        <v>1440</v>
      </c>
      <c r="C539" t="str">
        <f>"S04.2"</f>
        <v>S04.2</v>
      </c>
      <c r="D539" t="s">
        <v>539</v>
      </c>
    </row>
    <row r="540" spans="1:4" x14ac:dyDescent="0.55000000000000004">
      <c r="A540">
        <v>0</v>
      </c>
      <c r="B540" t="s">
        <v>1440</v>
      </c>
      <c r="C540" t="str">
        <f>"S04.3"</f>
        <v>S04.3</v>
      </c>
      <c r="D540" t="s">
        <v>540</v>
      </c>
    </row>
    <row r="541" spans="1:4" x14ac:dyDescent="0.55000000000000004">
      <c r="A541">
        <v>0</v>
      </c>
      <c r="B541" t="s">
        <v>1440</v>
      </c>
      <c r="C541" t="str">
        <f>"S04.4"</f>
        <v>S04.4</v>
      </c>
      <c r="D541" t="s">
        <v>541</v>
      </c>
    </row>
    <row r="542" spans="1:4" x14ac:dyDescent="0.55000000000000004">
      <c r="A542">
        <v>0</v>
      </c>
      <c r="B542" t="s">
        <v>1440</v>
      </c>
      <c r="C542" t="str">
        <f>"S04.5"</f>
        <v>S04.5</v>
      </c>
      <c r="D542" t="s">
        <v>542</v>
      </c>
    </row>
    <row r="543" spans="1:4" x14ac:dyDescent="0.55000000000000004">
      <c r="A543">
        <v>0</v>
      </c>
      <c r="B543" t="s">
        <v>1440</v>
      </c>
      <c r="C543" t="str">
        <f>"S04.6"</f>
        <v>S04.6</v>
      </c>
      <c r="D543" t="s">
        <v>543</v>
      </c>
    </row>
    <row r="544" spans="1:4" x14ac:dyDescent="0.55000000000000004">
      <c r="A544">
        <v>0</v>
      </c>
      <c r="B544" t="s">
        <v>1440</v>
      </c>
      <c r="C544" t="str">
        <f>"S04.7"</f>
        <v>S04.7</v>
      </c>
      <c r="D544" t="s">
        <v>544</v>
      </c>
    </row>
    <row r="545" spans="1:4" x14ac:dyDescent="0.55000000000000004">
      <c r="A545">
        <v>0</v>
      </c>
      <c r="B545" t="s">
        <v>1440</v>
      </c>
      <c r="C545" t="str">
        <f>"S04.80"</f>
        <v>S04.80</v>
      </c>
      <c r="D545" t="s">
        <v>545</v>
      </c>
    </row>
    <row r="546" spans="1:4" x14ac:dyDescent="0.55000000000000004">
      <c r="A546">
        <v>0</v>
      </c>
      <c r="B546" t="s">
        <v>1440</v>
      </c>
      <c r="C546" t="str">
        <f>"S04.81"</f>
        <v>S04.81</v>
      </c>
      <c r="D546" t="s">
        <v>546</v>
      </c>
    </row>
    <row r="547" spans="1:4" x14ac:dyDescent="0.55000000000000004">
      <c r="A547">
        <v>0</v>
      </c>
      <c r="B547" t="s">
        <v>1440</v>
      </c>
      <c r="C547" t="str">
        <f>"S04.82"</f>
        <v>S04.82</v>
      </c>
      <c r="D547" t="s">
        <v>547</v>
      </c>
    </row>
    <row r="548" spans="1:4" x14ac:dyDescent="0.55000000000000004">
      <c r="A548">
        <v>0</v>
      </c>
      <c r="B548" t="s">
        <v>1440</v>
      </c>
      <c r="C548" t="str">
        <f>"S04.83"</f>
        <v>S04.83</v>
      </c>
      <c r="D548" t="s">
        <v>548</v>
      </c>
    </row>
    <row r="549" spans="1:4" x14ac:dyDescent="0.55000000000000004">
      <c r="A549">
        <v>0</v>
      </c>
      <c r="B549" t="s">
        <v>1440</v>
      </c>
      <c r="C549" t="str">
        <f>"S04.9"</f>
        <v>S04.9</v>
      </c>
      <c r="D549" t="s">
        <v>549</v>
      </c>
    </row>
    <row r="550" spans="1:4" x14ac:dyDescent="0.55000000000000004">
      <c r="A550">
        <v>0</v>
      </c>
      <c r="B550" t="s">
        <v>1440</v>
      </c>
      <c r="C550" t="str">
        <f>"S05.0"</f>
        <v>S05.0</v>
      </c>
      <c r="D550" t="s">
        <v>550</v>
      </c>
    </row>
    <row r="551" spans="1:4" x14ac:dyDescent="0.55000000000000004">
      <c r="A551">
        <v>0</v>
      </c>
      <c r="B551" t="s">
        <v>1440</v>
      </c>
      <c r="C551" t="str">
        <f>"S05.1"</f>
        <v>S05.1</v>
      </c>
      <c r="D551" t="s">
        <v>551</v>
      </c>
    </row>
    <row r="552" spans="1:4" x14ac:dyDescent="0.55000000000000004">
      <c r="A552">
        <v>0</v>
      </c>
      <c r="B552" t="s">
        <v>1440</v>
      </c>
      <c r="C552" t="str">
        <f>"S05.2"</f>
        <v>S05.2</v>
      </c>
      <c r="D552" t="s">
        <v>552</v>
      </c>
    </row>
    <row r="553" spans="1:4" x14ac:dyDescent="0.55000000000000004">
      <c r="A553">
        <v>0</v>
      </c>
      <c r="B553" t="s">
        <v>1440</v>
      </c>
      <c r="C553" t="str">
        <f>"S05.3"</f>
        <v>S05.3</v>
      </c>
      <c r="D553" t="s">
        <v>553</v>
      </c>
    </row>
    <row r="554" spans="1:4" x14ac:dyDescent="0.55000000000000004">
      <c r="A554">
        <v>0</v>
      </c>
      <c r="B554" t="s">
        <v>1440</v>
      </c>
      <c r="C554" t="str">
        <f>"S05.4"</f>
        <v>S05.4</v>
      </c>
      <c r="D554" t="s">
        <v>554</v>
      </c>
    </row>
    <row r="555" spans="1:4" x14ac:dyDescent="0.55000000000000004">
      <c r="A555">
        <v>0</v>
      </c>
      <c r="B555" t="s">
        <v>1440</v>
      </c>
      <c r="C555" t="str">
        <f>"S05.5"</f>
        <v>S05.5</v>
      </c>
      <c r="D555" t="s">
        <v>555</v>
      </c>
    </row>
    <row r="556" spans="1:4" x14ac:dyDescent="0.55000000000000004">
      <c r="A556">
        <v>0</v>
      </c>
      <c r="B556" t="s">
        <v>1440</v>
      </c>
      <c r="C556" t="str">
        <f>"S05.6"</f>
        <v>S05.6</v>
      </c>
      <c r="D556" t="s">
        <v>556</v>
      </c>
    </row>
    <row r="557" spans="1:4" x14ac:dyDescent="0.55000000000000004">
      <c r="A557">
        <v>0</v>
      </c>
      <c r="B557" t="s">
        <v>1440</v>
      </c>
      <c r="C557" t="str">
        <f>"S05.7"</f>
        <v>S05.7</v>
      </c>
      <c r="D557" t="s">
        <v>557</v>
      </c>
    </row>
    <row r="558" spans="1:4" x14ac:dyDescent="0.55000000000000004">
      <c r="A558">
        <v>0</v>
      </c>
      <c r="B558" t="s">
        <v>1440</v>
      </c>
      <c r="C558" t="str">
        <f>"S05.8"</f>
        <v>S05.8</v>
      </c>
      <c r="D558" t="s">
        <v>558</v>
      </c>
    </row>
    <row r="559" spans="1:4" x14ac:dyDescent="0.55000000000000004">
      <c r="A559">
        <v>0</v>
      </c>
      <c r="B559" t="s">
        <v>1440</v>
      </c>
      <c r="C559" t="str">
        <f>"S05.9"</f>
        <v>S05.9</v>
      </c>
      <c r="D559" t="s">
        <v>559</v>
      </c>
    </row>
    <row r="560" spans="1:4" x14ac:dyDescent="0.55000000000000004">
      <c r="A560">
        <v>0</v>
      </c>
      <c r="B560" t="s">
        <v>1440</v>
      </c>
      <c r="C560" t="str">
        <f>"S06.00"</f>
        <v>S06.00</v>
      </c>
      <c r="D560" t="s">
        <v>560</v>
      </c>
    </row>
    <row r="561" spans="1:4" x14ac:dyDescent="0.55000000000000004">
      <c r="A561">
        <v>0</v>
      </c>
      <c r="B561" t="s">
        <v>1440</v>
      </c>
      <c r="C561" t="str">
        <f>"S06.01"</f>
        <v>S06.01</v>
      </c>
      <c r="D561" t="s">
        <v>561</v>
      </c>
    </row>
    <row r="562" spans="1:4" x14ac:dyDescent="0.55000000000000004">
      <c r="A562">
        <v>0</v>
      </c>
      <c r="B562" t="s">
        <v>1440</v>
      </c>
      <c r="C562" t="str">
        <f>"S06.9"</f>
        <v>S06.9</v>
      </c>
      <c r="D562" t="s">
        <v>562</v>
      </c>
    </row>
    <row r="563" spans="1:4" x14ac:dyDescent="0.55000000000000004">
      <c r="A563">
        <v>0</v>
      </c>
      <c r="B563" t="s">
        <v>1440</v>
      </c>
      <c r="C563" t="str">
        <f>"S06.90"</f>
        <v>S06.90</v>
      </c>
      <c r="D563" t="s">
        <v>563</v>
      </c>
    </row>
    <row r="564" spans="1:4" x14ac:dyDescent="0.55000000000000004">
      <c r="A564">
        <v>0</v>
      </c>
      <c r="B564" t="s">
        <v>1440</v>
      </c>
      <c r="C564" t="str">
        <f>"S06.91"</f>
        <v>S06.91</v>
      </c>
      <c r="D564" t="s">
        <v>564</v>
      </c>
    </row>
    <row r="565" spans="1:4" x14ac:dyDescent="0.55000000000000004">
      <c r="A565">
        <v>0</v>
      </c>
      <c r="B565" t="s">
        <v>1440</v>
      </c>
      <c r="C565" t="str">
        <f>"S07.0"</f>
        <v>S07.0</v>
      </c>
      <c r="D565" t="s">
        <v>565</v>
      </c>
    </row>
    <row r="566" spans="1:4" x14ac:dyDescent="0.55000000000000004">
      <c r="A566">
        <v>0</v>
      </c>
      <c r="B566" t="s">
        <v>1440</v>
      </c>
      <c r="C566" t="str">
        <f>"S07.1"</f>
        <v>S07.1</v>
      </c>
      <c r="D566" t="s">
        <v>566</v>
      </c>
    </row>
    <row r="567" spans="1:4" x14ac:dyDescent="0.55000000000000004">
      <c r="A567">
        <v>0</v>
      </c>
      <c r="B567" t="s">
        <v>1440</v>
      </c>
      <c r="C567" t="str">
        <f>"S07.8"</f>
        <v>S07.8</v>
      </c>
      <c r="D567" t="s">
        <v>567</v>
      </c>
    </row>
    <row r="568" spans="1:4" x14ac:dyDescent="0.55000000000000004">
      <c r="A568">
        <v>0</v>
      </c>
      <c r="B568" t="s">
        <v>1440</v>
      </c>
      <c r="C568" t="str">
        <f>"S07.9"</f>
        <v>S07.9</v>
      </c>
      <c r="D568" t="s">
        <v>568</v>
      </c>
    </row>
    <row r="569" spans="1:4" x14ac:dyDescent="0.55000000000000004">
      <c r="A569">
        <v>0</v>
      </c>
      <c r="B569" t="s">
        <v>1440</v>
      </c>
      <c r="C569" t="str">
        <f>"S08.0"</f>
        <v>S08.0</v>
      </c>
      <c r="D569" t="s">
        <v>569</v>
      </c>
    </row>
    <row r="570" spans="1:4" x14ac:dyDescent="0.55000000000000004">
      <c r="A570">
        <v>0</v>
      </c>
      <c r="B570" t="s">
        <v>1440</v>
      </c>
      <c r="C570" t="str">
        <f>"S08.1"</f>
        <v>S08.1</v>
      </c>
      <c r="D570" t="s">
        <v>570</v>
      </c>
    </row>
    <row r="571" spans="1:4" x14ac:dyDescent="0.55000000000000004">
      <c r="A571">
        <v>0</v>
      </c>
      <c r="B571" t="s">
        <v>1440</v>
      </c>
      <c r="C571" t="str">
        <f>"S08.8"</f>
        <v>S08.8</v>
      </c>
      <c r="D571" t="s">
        <v>571</v>
      </c>
    </row>
    <row r="572" spans="1:4" x14ac:dyDescent="0.55000000000000004">
      <c r="A572">
        <v>0</v>
      </c>
      <c r="B572" t="s">
        <v>1440</v>
      </c>
      <c r="C572" t="str">
        <f>"S08.9"</f>
        <v>S08.9</v>
      </c>
      <c r="D572" t="s">
        <v>572</v>
      </c>
    </row>
    <row r="573" spans="1:4" x14ac:dyDescent="0.55000000000000004">
      <c r="A573">
        <v>0</v>
      </c>
      <c r="B573" t="s">
        <v>1440</v>
      </c>
      <c r="C573" t="str">
        <f>"S09.0"</f>
        <v>S09.0</v>
      </c>
      <c r="D573" t="s">
        <v>573</v>
      </c>
    </row>
    <row r="574" spans="1:4" x14ac:dyDescent="0.55000000000000004">
      <c r="A574">
        <v>0</v>
      </c>
      <c r="B574" t="s">
        <v>1440</v>
      </c>
      <c r="C574" t="str">
        <f>"S09.1"</f>
        <v>S09.1</v>
      </c>
      <c r="D574" t="s">
        <v>574</v>
      </c>
    </row>
    <row r="575" spans="1:4" x14ac:dyDescent="0.55000000000000004">
      <c r="A575">
        <v>0</v>
      </c>
      <c r="B575" t="s">
        <v>1440</v>
      </c>
      <c r="C575" t="str">
        <f>"S09.2"</f>
        <v>S09.2</v>
      </c>
      <c r="D575" t="s">
        <v>575</v>
      </c>
    </row>
    <row r="576" spans="1:4" x14ac:dyDescent="0.55000000000000004">
      <c r="A576">
        <v>0</v>
      </c>
      <c r="B576" t="s">
        <v>1440</v>
      </c>
      <c r="C576" t="str">
        <f>"S09.7"</f>
        <v>S09.7</v>
      </c>
      <c r="D576" t="s">
        <v>576</v>
      </c>
    </row>
    <row r="577" spans="1:4" x14ac:dyDescent="0.55000000000000004">
      <c r="A577">
        <v>0</v>
      </c>
      <c r="B577" t="s">
        <v>1440</v>
      </c>
      <c r="C577" t="str">
        <f>"S09.8"</f>
        <v>S09.8</v>
      </c>
      <c r="D577" t="s">
        <v>577</v>
      </c>
    </row>
    <row r="578" spans="1:4" x14ac:dyDescent="0.55000000000000004">
      <c r="A578">
        <v>0</v>
      </c>
      <c r="B578" t="s">
        <v>1440</v>
      </c>
      <c r="C578" t="str">
        <f>"S09.9"</f>
        <v>S09.9</v>
      </c>
      <c r="D578" t="s">
        <v>578</v>
      </c>
    </row>
    <row r="579" spans="1:4" x14ac:dyDescent="0.55000000000000004">
      <c r="A579">
        <v>0</v>
      </c>
      <c r="B579" t="s">
        <v>1440</v>
      </c>
      <c r="C579" t="str">
        <f>"S10.0"</f>
        <v>S10.0</v>
      </c>
      <c r="D579" t="s">
        <v>579</v>
      </c>
    </row>
    <row r="580" spans="1:4" x14ac:dyDescent="0.55000000000000004">
      <c r="A580">
        <v>0</v>
      </c>
      <c r="B580" t="s">
        <v>1440</v>
      </c>
      <c r="C580" t="str">
        <f>"S10.1"</f>
        <v>S10.1</v>
      </c>
      <c r="D580" t="s">
        <v>580</v>
      </c>
    </row>
    <row r="581" spans="1:4" x14ac:dyDescent="0.55000000000000004">
      <c r="A581">
        <v>0</v>
      </c>
      <c r="B581" t="s">
        <v>1440</v>
      </c>
      <c r="C581" t="str">
        <f>"S10.7"</f>
        <v>S10.7</v>
      </c>
      <c r="D581" t="s">
        <v>581</v>
      </c>
    </row>
    <row r="582" spans="1:4" x14ac:dyDescent="0.55000000000000004">
      <c r="A582">
        <v>0</v>
      </c>
      <c r="B582" t="s">
        <v>1440</v>
      </c>
      <c r="C582" t="str">
        <f>"S10.8"</f>
        <v>S10.8</v>
      </c>
      <c r="D582" t="s">
        <v>582</v>
      </c>
    </row>
    <row r="583" spans="1:4" x14ac:dyDescent="0.55000000000000004">
      <c r="A583">
        <v>0</v>
      </c>
      <c r="B583" t="s">
        <v>1440</v>
      </c>
      <c r="C583" t="str">
        <f>"S10.9"</f>
        <v>S10.9</v>
      </c>
      <c r="D583" t="s">
        <v>583</v>
      </c>
    </row>
    <row r="584" spans="1:4" x14ac:dyDescent="0.55000000000000004">
      <c r="A584">
        <v>0</v>
      </c>
      <c r="B584" t="s">
        <v>1440</v>
      </c>
      <c r="C584" t="str">
        <f>"S11.1"</f>
        <v>S11.1</v>
      </c>
      <c r="D584" t="s">
        <v>584</v>
      </c>
    </row>
    <row r="585" spans="1:4" x14ac:dyDescent="0.55000000000000004">
      <c r="A585">
        <v>0</v>
      </c>
      <c r="B585" t="s">
        <v>1440</v>
      </c>
      <c r="C585" t="str">
        <f>"S11.7"</f>
        <v>S11.7</v>
      </c>
      <c r="D585" t="s">
        <v>585</v>
      </c>
    </row>
    <row r="586" spans="1:4" x14ac:dyDescent="0.55000000000000004">
      <c r="A586">
        <v>0</v>
      </c>
      <c r="B586" t="s">
        <v>1440</v>
      </c>
      <c r="C586" t="str">
        <f>"S11.8"</f>
        <v>S11.8</v>
      </c>
      <c r="D586" t="s">
        <v>586</v>
      </c>
    </row>
    <row r="587" spans="1:4" x14ac:dyDescent="0.55000000000000004">
      <c r="A587">
        <v>0</v>
      </c>
      <c r="B587" t="s">
        <v>1440</v>
      </c>
      <c r="C587" t="str">
        <f>"S11.9"</f>
        <v>S11.9</v>
      </c>
      <c r="D587" t="s">
        <v>587</v>
      </c>
    </row>
    <row r="588" spans="1:4" x14ac:dyDescent="0.55000000000000004">
      <c r="A588">
        <v>0</v>
      </c>
      <c r="B588" t="s">
        <v>1440</v>
      </c>
      <c r="C588" t="str">
        <f>"S12.0"</f>
        <v>S12.0</v>
      </c>
      <c r="D588" t="s">
        <v>588</v>
      </c>
    </row>
    <row r="589" spans="1:4" x14ac:dyDescent="0.55000000000000004">
      <c r="A589">
        <v>0</v>
      </c>
      <c r="B589" t="s">
        <v>1440</v>
      </c>
      <c r="C589" t="str">
        <f>"S12.00"</f>
        <v>S12.00</v>
      </c>
      <c r="D589" t="s">
        <v>589</v>
      </c>
    </row>
    <row r="590" spans="1:4" x14ac:dyDescent="0.55000000000000004">
      <c r="A590">
        <v>0</v>
      </c>
      <c r="B590" t="s">
        <v>1440</v>
      </c>
      <c r="C590" t="str">
        <f>"S12.01"</f>
        <v>S12.01</v>
      </c>
      <c r="D590" t="s">
        <v>590</v>
      </c>
    </row>
    <row r="591" spans="1:4" x14ac:dyDescent="0.55000000000000004">
      <c r="A591">
        <v>0</v>
      </c>
      <c r="B591" t="s">
        <v>1440</v>
      </c>
      <c r="C591" t="str">
        <f>"S12.1"</f>
        <v>S12.1</v>
      </c>
      <c r="D591" t="s">
        <v>591</v>
      </c>
    </row>
    <row r="592" spans="1:4" x14ac:dyDescent="0.55000000000000004">
      <c r="A592">
        <v>0</v>
      </c>
      <c r="B592" t="s">
        <v>1440</v>
      </c>
      <c r="C592" t="str">
        <f>"S12.10"</f>
        <v>S12.10</v>
      </c>
      <c r="D592" t="s">
        <v>592</v>
      </c>
    </row>
    <row r="593" spans="1:4" x14ac:dyDescent="0.55000000000000004">
      <c r="A593">
        <v>0</v>
      </c>
      <c r="B593" t="s">
        <v>1440</v>
      </c>
      <c r="C593" t="str">
        <f>"S12.11"</f>
        <v>S12.11</v>
      </c>
      <c r="D593" t="s">
        <v>593</v>
      </c>
    </row>
    <row r="594" spans="1:4" x14ac:dyDescent="0.55000000000000004">
      <c r="A594">
        <v>0</v>
      </c>
      <c r="B594" t="s">
        <v>1440</v>
      </c>
      <c r="C594" t="str">
        <f>"S12.2"</f>
        <v>S12.2</v>
      </c>
      <c r="D594" t="s">
        <v>594</v>
      </c>
    </row>
    <row r="595" spans="1:4" x14ac:dyDescent="0.55000000000000004">
      <c r="A595">
        <v>0</v>
      </c>
      <c r="B595" t="s">
        <v>1440</v>
      </c>
      <c r="C595" t="str">
        <f>"S12.20"</f>
        <v>S12.20</v>
      </c>
      <c r="D595" t="s">
        <v>595</v>
      </c>
    </row>
    <row r="596" spans="1:4" x14ac:dyDescent="0.55000000000000004">
      <c r="A596">
        <v>0</v>
      </c>
      <c r="B596" t="s">
        <v>1440</v>
      </c>
      <c r="C596" t="str">
        <f>"S12.200"</f>
        <v>S12.200</v>
      </c>
      <c r="D596" t="s">
        <v>596</v>
      </c>
    </row>
    <row r="597" spans="1:4" x14ac:dyDescent="0.55000000000000004">
      <c r="A597">
        <v>0</v>
      </c>
      <c r="B597" t="s">
        <v>1440</v>
      </c>
      <c r="C597" t="str">
        <f>"S12.201"</f>
        <v>S12.201</v>
      </c>
      <c r="D597" t="s">
        <v>597</v>
      </c>
    </row>
    <row r="598" spans="1:4" x14ac:dyDescent="0.55000000000000004">
      <c r="A598">
        <v>0</v>
      </c>
      <c r="B598" t="s">
        <v>1440</v>
      </c>
      <c r="C598" t="str">
        <f>"S12.21"</f>
        <v>S12.21</v>
      </c>
      <c r="D598" t="s">
        <v>598</v>
      </c>
    </row>
    <row r="599" spans="1:4" x14ac:dyDescent="0.55000000000000004">
      <c r="A599">
        <v>0</v>
      </c>
      <c r="B599" t="s">
        <v>1440</v>
      </c>
      <c r="C599" t="str">
        <f>"S12.210"</f>
        <v>S12.210</v>
      </c>
      <c r="D599" t="s">
        <v>599</v>
      </c>
    </row>
    <row r="600" spans="1:4" x14ac:dyDescent="0.55000000000000004">
      <c r="A600">
        <v>0</v>
      </c>
      <c r="B600" t="s">
        <v>1440</v>
      </c>
      <c r="C600" t="str">
        <f>"S12.211"</f>
        <v>S12.211</v>
      </c>
      <c r="D600" t="s">
        <v>600</v>
      </c>
    </row>
    <row r="601" spans="1:4" x14ac:dyDescent="0.55000000000000004">
      <c r="A601">
        <v>0</v>
      </c>
      <c r="B601" t="s">
        <v>1440</v>
      </c>
      <c r="C601" t="str">
        <f>"S12.220"</f>
        <v>S12.220</v>
      </c>
      <c r="D601" t="s">
        <v>601</v>
      </c>
    </row>
    <row r="602" spans="1:4" x14ac:dyDescent="0.55000000000000004">
      <c r="A602">
        <v>0</v>
      </c>
      <c r="B602" t="s">
        <v>1440</v>
      </c>
      <c r="C602" t="str">
        <f>"S12.221"</f>
        <v>S12.221</v>
      </c>
      <c r="D602" t="s">
        <v>602</v>
      </c>
    </row>
    <row r="603" spans="1:4" x14ac:dyDescent="0.55000000000000004">
      <c r="A603">
        <v>0</v>
      </c>
      <c r="B603" t="s">
        <v>1440</v>
      </c>
      <c r="C603" t="str">
        <f>"S12.230"</f>
        <v>S12.230</v>
      </c>
      <c r="D603" t="s">
        <v>603</v>
      </c>
    </row>
    <row r="604" spans="1:4" x14ac:dyDescent="0.55000000000000004">
      <c r="A604">
        <v>0</v>
      </c>
      <c r="B604" t="s">
        <v>1440</v>
      </c>
      <c r="C604" t="str">
        <f>"S12.231"</f>
        <v>S12.231</v>
      </c>
      <c r="D604" t="s">
        <v>604</v>
      </c>
    </row>
    <row r="605" spans="1:4" x14ac:dyDescent="0.55000000000000004">
      <c r="A605">
        <v>0</v>
      </c>
      <c r="B605" t="s">
        <v>1440</v>
      </c>
      <c r="C605" t="str">
        <f>"S12.240"</f>
        <v>S12.240</v>
      </c>
      <c r="D605" t="s">
        <v>605</v>
      </c>
    </row>
    <row r="606" spans="1:4" x14ac:dyDescent="0.55000000000000004">
      <c r="A606">
        <v>0</v>
      </c>
      <c r="B606" t="s">
        <v>1440</v>
      </c>
      <c r="C606" t="str">
        <f>"S12.241"</f>
        <v>S12.241</v>
      </c>
      <c r="D606" t="s">
        <v>606</v>
      </c>
    </row>
    <row r="607" spans="1:4" x14ac:dyDescent="0.55000000000000004">
      <c r="A607">
        <v>0</v>
      </c>
      <c r="B607" t="s">
        <v>1440</v>
      </c>
      <c r="C607" t="str">
        <f>"S12.280"</f>
        <v>S12.280</v>
      </c>
      <c r="D607" t="s">
        <v>607</v>
      </c>
    </row>
    <row r="608" spans="1:4" x14ac:dyDescent="0.55000000000000004">
      <c r="A608">
        <v>0</v>
      </c>
      <c r="B608" t="s">
        <v>1440</v>
      </c>
      <c r="C608" t="str">
        <f>"S12.281"</f>
        <v>S12.281</v>
      </c>
      <c r="D608" t="s">
        <v>608</v>
      </c>
    </row>
    <row r="609" spans="1:4" x14ac:dyDescent="0.55000000000000004">
      <c r="A609">
        <v>0</v>
      </c>
      <c r="B609" t="s">
        <v>1440</v>
      </c>
      <c r="C609" t="str">
        <f>"S12.7"</f>
        <v>S12.7</v>
      </c>
      <c r="D609" t="s">
        <v>609</v>
      </c>
    </row>
    <row r="610" spans="1:4" x14ac:dyDescent="0.55000000000000004">
      <c r="A610">
        <v>0</v>
      </c>
      <c r="B610" t="s">
        <v>1440</v>
      </c>
      <c r="C610" t="str">
        <f>"S12.70"</f>
        <v>S12.70</v>
      </c>
      <c r="D610" t="s">
        <v>610</v>
      </c>
    </row>
    <row r="611" spans="1:4" x14ac:dyDescent="0.55000000000000004">
      <c r="A611">
        <v>0</v>
      </c>
      <c r="B611" t="s">
        <v>1440</v>
      </c>
      <c r="C611" t="str">
        <f>"S12.71"</f>
        <v>S12.71</v>
      </c>
      <c r="D611" t="s">
        <v>611</v>
      </c>
    </row>
    <row r="612" spans="1:4" x14ac:dyDescent="0.55000000000000004">
      <c r="A612">
        <v>0</v>
      </c>
      <c r="B612" t="s">
        <v>1440</v>
      </c>
      <c r="C612" t="str">
        <f>"S12.8"</f>
        <v>S12.8</v>
      </c>
      <c r="D612" t="s">
        <v>612</v>
      </c>
    </row>
    <row r="613" spans="1:4" x14ac:dyDescent="0.55000000000000004">
      <c r="A613">
        <v>0</v>
      </c>
      <c r="B613" t="s">
        <v>1440</v>
      </c>
      <c r="C613" t="str">
        <f>"S12.80"</f>
        <v>S12.80</v>
      </c>
      <c r="D613" t="s">
        <v>613</v>
      </c>
    </row>
    <row r="614" spans="1:4" x14ac:dyDescent="0.55000000000000004">
      <c r="A614">
        <v>0</v>
      </c>
      <c r="B614" t="s">
        <v>1440</v>
      </c>
      <c r="C614" t="str">
        <f>"S12.81"</f>
        <v>S12.81</v>
      </c>
      <c r="D614" t="s">
        <v>614</v>
      </c>
    </row>
    <row r="615" spans="1:4" x14ac:dyDescent="0.55000000000000004">
      <c r="A615">
        <v>0</v>
      </c>
      <c r="B615" t="s">
        <v>1440</v>
      </c>
      <c r="C615" t="str">
        <f>"S12.9"</f>
        <v>S12.9</v>
      </c>
      <c r="D615" t="s">
        <v>615</v>
      </c>
    </row>
    <row r="616" spans="1:4" x14ac:dyDescent="0.55000000000000004">
      <c r="A616">
        <v>0</v>
      </c>
      <c r="B616" t="s">
        <v>1440</v>
      </c>
      <c r="C616" t="str">
        <f>"S12.90"</f>
        <v>S12.90</v>
      </c>
      <c r="D616" t="s">
        <v>616</v>
      </c>
    </row>
    <row r="617" spans="1:4" x14ac:dyDescent="0.55000000000000004">
      <c r="A617">
        <v>0</v>
      </c>
      <c r="B617" t="s">
        <v>1440</v>
      </c>
      <c r="C617" t="str">
        <f>"S12.91"</f>
        <v>S12.91</v>
      </c>
      <c r="D617" t="s">
        <v>617</v>
      </c>
    </row>
    <row r="618" spans="1:4" x14ac:dyDescent="0.55000000000000004">
      <c r="A618">
        <v>0</v>
      </c>
      <c r="B618" t="s">
        <v>1440</v>
      </c>
      <c r="C618" t="str">
        <f>"S13.4"</f>
        <v>S13.4</v>
      </c>
      <c r="D618" t="s">
        <v>618</v>
      </c>
    </row>
    <row r="619" spans="1:4" x14ac:dyDescent="0.55000000000000004">
      <c r="A619">
        <v>0</v>
      </c>
      <c r="B619" t="s">
        <v>1440</v>
      </c>
      <c r="C619" t="str">
        <f>"S13.5"</f>
        <v>S13.5</v>
      </c>
      <c r="D619" t="s">
        <v>619</v>
      </c>
    </row>
    <row r="620" spans="1:4" x14ac:dyDescent="0.55000000000000004">
      <c r="A620">
        <v>0</v>
      </c>
      <c r="B620" t="s">
        <v>1440</v>
      </c>
      <c r="C620" t="str">
        <f>"S13.6"</f>
        <v>S13.6</v>
      </c>
      <c r="D620" t="s">
        <v>620</v>
      </c>
    </row>
    <row r="621" spans="1:4" x14ac:dyDescent="0.55000000000000004">
      <c r="A621">
        <v>0</v>
      </c>
      <c r="B621" t="s">
        <v>1440</v>
      </c>
      <c r="C621" t="str">
        <f>"S14.2"</f>
        <v>S14.2</v>
      </c>
      <c r="D621" t="s">
        <v>621</v>
      </c>
    </row>
    <row r="622" spans="1:4" x14ac:dyDescent="0.55000000000000004">
      <c r="A622">
        <v>0</v>
      </c>
      <c r="B622" t="s">
        <v>1440</v>
      </c>
      <c r="C622" t="str">
        <f>"S14.4"</f>
        <v>S14.4</v>
      </c>
      <c r="D622" t="s">
        <v>622</v>
      </c>
    </row>
    <row r="623" spans="1:4" x14ac:dyDescent="0.55000000000000004">
      <c r="A623">
        <v>0</v>
      </c>
      <c r="B623" t="s">
        <v>1440</v>
      </c>
      <c r="C623" t="str">
        <f>"S14.5"</f>
        <v>S14.5</v>
      </c>
      <c r="D623" t="s">
        <v>623</v>
      </c>
    </row>
    <row r="624" spans="1:4" x14ac:dyDescent="0.55000000000000004">
      <c r="A624">
        <v>0</v>
      </c>
      <c r="B624" t="s">
        <v>1440</v>
      </c>
      <c r="C624" t="str">
        <f>"S14.6"</f>
        <v>S14.6</v>
      </c>
      <c r="D624" t="s">
        <v>624</v>
      </c>
    </row>
    <row r="625" spans="1:4" x14ac:dyDescent="0.55000000000000004">
      <c r="A625">
        <v>0</v>
      </c>
      <c r="B625" t="s">
        <v>1440</v>
      </c>
      <c r="C625" t="str">
        <f>"S15.7"</f>
        <v>S15.7</v>
      </c>
      <c r="D625" t="s">
        <v>625</v>
      </c>
    </row>
    <row r="626" spans="1:4" x14ac:dyDescent="0.55000000000000004">
      <c r="A626">
        <v>0</v>
      </c>
      <c r="B626" t="s">
        <v>1440</v>
      </c>
      <c r="C626" t="str">
        <f>"S15.8"</f>
        <v>S15.8</v>
      </c>
      <c r="D626" t="s">
        <v>626</v>
      </c>
    </row>
    <row r="627" spans="1:4" x14ac:dyDescent="0.55000000000000004">
      <c r="A627">
        <v>0</v>
      </c>
      <c r="B627" t="s">
        <v>1440</v>
      </c>
      <c r="C627" t="str">
        <f>"S15.9"</f>
        <v>S15.9</v>
      </c>
      <c r="D627" t="s">
        <v>627</v>
      </c>
    </row>
    <row r="628" spans="1:4" x14ac:dyDescent="0.55000000000000004">
      <c r="A628">
        <v>0</v>
      </c>
      <c r="B628" t="s">
        <v>1440</v>
      </c>
      <c r="C628" t="str">
        <f>"S16"</f>
        <v>S16</v>
      </c>
      <c r="D628" t="s">
        <v>628</v>
      </c>
    </row>
    <row r="629" spans="1:4" x14ac:dyDescent="0.55000000000000004">
      <c r="A629">
        <v>0</v>
      </c>
      <c r="B629" t="s">
        <v>1440</v>
      </c>
      <c r="C629" t="str">
        <f>"S17.0"</f>
        <v>S17.0</v>
      </c>
      <c r="D629" t="s">
        <v>629</v>
      </c>
    </row>
    <row r="630" spans="1:4" x14ac:dyDescent="0.55000000000000004">
      <c r="A630">
        <v>0</v>
      </c>
      <c r="B630" t="s">
        <v>1440</v>
      </c>
      <c r="C630" t="str">
        <f>"S17.8"</f>
        <v>S17.8</v>
      </c>
      <c r="D630" t="s">
        <v>630</v>
      </c>
    </row>
    <row r="631" spans="1:4" x14ac:dyDescent="0.55000000000000004">
      <c r="A631">
        <v>0</v>
      </c>
      <c r="B631" t="s">
        <v>1440</v>
      </c>
      <c r="C631" t="str">
        <f>"S17.9"</f>
        <v>S17.9</v>
      </c>
      <c r="D631" t="s">
        <v>631</v>
      </c>
    </row>
    <row r="632" spans="1:4" x14ac:dyDescent="0.55000000000000004">
      <c r="A632">
        <v>0</v>
      </c>
      <c r="B632" t="s">
        <v>1440</v>
      </c>
      <c r="C632" t="str">
        <f>"S18"</f>
        <v>S18</v>
      </c>
      <c r="D632" t="s">
        <v>632</v>
      </c>
    </row>
    <row r="633" spans="1:4" x14ac:dyDescent="0.55000000000000004">
      <c r="A633">
        <v>0</v>
      </c>
      <c r="B633" t="s">
        <v>1440</v>
      </c>
      <c r="C633" t="str">
        <f>"S19.7"</f>
        <v>S19.7</v>
      </c>
      <c r="D633" t="s">
        <v>633</v>
      </c>
    </row>
    <row r="634" spans="1:4" x14ac:dyDescent="0.55000000000000004">
      <c r="A634">
        <v>0</v>
      </c>
      <c r="B634" t="s">
        <v>1440</v>
      </c>
      <c r="C634" t="str">
        <f>"S19.8"</f>
        <v>S19.8</v>
      </c>
      <c r="D634" t="s">
        <v>634</v>
      </c>
    </row>
    <row r="635" spans="1:4" x14ac:dyDescent="0.55000000000000004">
      <c r="A635">
        <v>0</v>
      </c>
      <c r="B635" t="s">
        <v>1440</v>
      </c>
      <c r="C635" t="str">
        <f>"S19.9"</f>
        <v>S19.9</v>
      </c>
      <c r="D635" t="s">
        <v>635</v>
      </c>
    </row>
    <row r="636" spans="1:4" x14ac:dyDescent="0.55000000000000004">
      <c r="A636">
        <v>0</v>
      </c>
      <c r="B636" t="s">
        <v>1440</v>
      </c>
      <c r="C636" t="str">
        <f>"S20.0"</f>
        <v>S20.0</v>
      </c>
      <c r="D636" t="s">
        <v>636</v>
      </c>
    </row>
    <row r="637" spans="1:4" x14ac:dyDescent="0.55000000000000004">
      <c r="A637">
        <v>0</v>
      </c>
      <c r="B637" t="s">
        <v>1440</v>
      </c>
      <c r="C637" t="str">
        <f>"S20.1"</f>
        <v>S20.1</v>
      </c>
      <c r="D637" t="s">
        <v>637</v>
      </c>
    </row>
    <row r="638" spans="1:4" x14ac:dyDescent="0.55000000000000004">
      <c r="A638">
        <v>0</v>
      </c>
      <c r="B638" t="s">
        <v>1440</v>
      </c>
      <c r="C638" t="str">
        <f>"S20.2"</f>
        <v>S20.2</v>
      </c>
      <c r="D638" t="s">
        <v>638</v>
      </c>
    </row>
    <row r="639" spans="1:4" x14ac:dyDescent="0.55000000000000004">
      <c r="A639">
        <v>0</v>
      </c>
      <c r="B639" t="s">
        <v>1440</v>
      </c>
      <c r="C639" t="str">
        <f>"S20.3"</f>
        <v>S20.3</v>
      </c>
      <c r="D639" t="s">
        <v>639</v>
      </c>
    </row>
    <row r="640" spans="1:4" x14ac:dyDescent="0.55000000000000004">
      <c r="A640">
        <v>0</v>
      </c>
      <c r="B640" t="s">
        <v>1440</v>
      </c>
      <c r="C640" t="str">
        <f>"S20.4"</f>
        <v>S20.4</v>
      </c>
      <c r="D640" t="s">
        <v>640</v>
      </c>
    </row>
    <row r="641" spans="1:4" x14ac:dyDescent="0.55000000000000004">
      <c r="A641">
        <v>0</v>
      </c>
      <c r="B641" t="s">
        <v>1440</v>
      </c>
      <c r="C641" t="str">
        <f>"S20.7"</f>
        <v>S20.7</v>
      </c>
      <c r="D641" t="s">
        <v>641</v>
      </c>
    </row>
    <row r="642" spans="1:4" x14ac:dyDescent="0.55000000000000004">
      <c r="A642">
        <v>0</v>
      </c>
      <c r="B642" t="s">
        <v>1440</v>
      </c>
      <c r="C642" t="str">
        <f>"S20.8"</f>
        <v>S20.8</v>
      </c>
      <c r="D642" t="s">
        <v>642</v>
      </c>
    </row>
    <row r="643" spans="1:4" x14ac:dyDescent="0.55000000000000004">
      <c r="A643">
        <v>0</v>
      </c>
      <c r="B643" t="s">
        <v>1440</v>
      </c>
      <c r="C643" t="str">
        <f>"S21.0"</f>
        <v>S21.0</v>
      </c>
      <c r="D643" t="s">
        <v>643</v>
      </c>
    </row>
    <row r="644" spans="1:4" x14ac:dyDescent="0.55000000000000004">
      <c r="A644">
        <v>0</v>
      </c>
      <c r="B644" t="s">
        <v>1440</v>
      </c>
      <c r="C644" t="str">
        <f>"S21.1"</f>
        <v>S21.1</v>
      </c>
      <c r="D644" t="s">
        <v>644</v>
      </c>
    </row>
    <row r="645" spans="1:4" x14ac:dyDescent="0.55000000000000004">
      <c r="A645">
        <v>0</v>
      </c>
      <c r="B645" t="s">
        <v>1440</v>
      </c>
      <c r="C645" t="str">
        <f>"S21.2"</f>
        <v>S21.2</v>
      </c>
      <c r="D645" t="s">
        <v>645</v>
      </c>
    </row>
    <row r="646" spans="1:4" x14ac:dyDescent="0.55000000000000004">
      <c r="A646">
        <v>0</v>
      </c>
      <c r="B646" t="s">
        <v>1440</v>
      </c>
      <c r="C646" t="str">
        <f>"S21.7"</f>
        <v>S21.7</v>
      </c>
      <c r="D646" t="s">
        <v>646</v>
      </c>
    </row>
    <row r="647" spans="1:4" x14ac:dyDescent="0.55000000000000004">
      <c r="A647">
        <v>0</v>
      </c>
      <c r="B647" t="s">
        <v>1440</v>
      </c>
      <c r="C647" t="str">
        <f>"S21.8"</f>
        <v>S21.8</v>
      </c>
      <c r="D647" t="s">
        <v>647</v>
      </c>
    </row>
    <row r="648" spans="1:4" x14ac:dyDescent="0.55000000000000004">
      <c r="A648">
        <v>0</v>
      </c>
      <c r="B648" t="s">
        <v>1440</v>
      </c>
      <c r="C648" t="str">
        <f>"S21.9"</f>
        <v>S21.9</v>
      </c>
      <c r="D648" t="s">
        <v>648</v>
      </c>
    </row>
    <row r="649" spans="1:4" x14ac:dyDescent="0.55000000000000004">
      <c r="A649">
        <v>0</v>
      </c>
      <c r="B649" t="s">
        <v>1440</v>
      </c>
      <c r="C649" t="str">
        <f>"S22.00"</f>
        <v>S22.00</v>
      </c>
      <c r="D649" t="s">
        <v>649</v>
      </c>
    </row>
    <row r="650" spans="1:4" x14ac:dyDescent="0.55000000000000004">
      <c r="A650">
        <v>0</v>
      </c>
      <c r="B650" t="s">
        <v>1440</v>
      </c>
      <c r="C650" t="str">
        <f>"S22.000"</f>
        <v>S22.000</v>
      </c>
      <c r="D650" t="s">
        <v>650</v>
      </c>
    </row>
    <row r="651" spans="1:4" x14ac:dyDescent="0.55000000000000004">
      <c r="A651">
        <v>0</v>
      </c>
      <c r="B651" t="s">
        <v>1440</v>
      </c>
      <c r="C651" t="str">
        <f>"S22.001"</f>
        <v>S22.001</v>
      </c>
      <c r="D651" t="s">
        <v>651</v>
      </c>
    </row>
    <row r="652" spans="1:4" x14ac:dyDescent="0.55000000000000004">
      <c r="A652">
        <v>0</v>
      </c>
      <c r="B652" t="s">
        <v>1440</v>
      </c>
      <c r="C652" t="str">
        <f>"S22.01"</f>
        <v>S22.01</v>
      </c>
      <c r="D652" t="s">
        <v>652</v>
      </c>
    </row>
    <row r="653" spans="1:4" x14ac:dyDescent="0.55000000000000004">
      <c r="A653">
        <v>0</v>
      </c>
      <c r="B653" t="s">
        <v>1440</v>
      </c>
      <c r="C653" t="str">
        <f>"S22.010"</f>
        <v>S22.010</v>
      </c>
      <c r="D653" t="s">
        <v>653</v>
      </c>
    </row>
    <row r="654" spans="1:4" x14ac:dyDescent="0.55000000000000004">
      <c r="A654">
        <v>0</v>
      </c>
      <c r="B654" t="s">
        <v>1440</v>
      </c>
      <c r="C654" t="str">
        <f>"S22.011"</f>
        <v>S22.011</v>
      </c>
      <c r="D654" t="s">
        <v>654</v>
      </c>
    </row>
    <row r="655" spans="1:4" x14ac:dyDescent="0.55000000000000004">
      <c r="A655">
        <v>0</v>
      </c>
      <c r="B655" t="s">
        <v>1440</v>
      </c>
      <c r="C655" t="str">
        <f>"S22.020"</f>
        <v>S22.020</v>
      </c>
      <c r="D655" t="s">
        <v>655</v>
      </c>
    </row>
    <row r="656" spans="1:4" x14ac:dyDescent="0.55000000000000004">
      <c r="A656">
        <v>0</v>
      </c>
      <c r="B656" t="s">
        <v>1440</v>
      </c>
      <c r="C656" t="str">
        <f>"S22.021"</f>
        <v>S22.021</v>
      </c>
      <c r="D656" t="s">
        <v>656</v>
      </c>
    </row>
    <row r="657" spans="1:4" x14ac:dyDescent="0.55000000000000004">
      <c r="A657">
        <v>0</v>
      </c>
      <c r="B657" t="s">
        <v>1440</v>
      </c>
      <c r="C657" t="str">
        <f>"S22.030"</f>
        <v>S22.030</v>
      </c>
      <c r="D657" t="s">
        <v>657</v>
      </c>
    </row>
    <row r="658" spans="1:4" x14ac:dyDescent="0.55000000000000004">
      <c r="A658">
        <v>0</v>
      </c>
      <c r="B658" t="s">
        <v>1440</v>
      </c>
      <c r="C658" t="str">
        <f>"S22.031"</f>
        <v>S22.031</v>
      </c>
      <c r="D658" t="s">
        <v>658</v>
      </c>
    </row>
    <row r="659" spans="1:4" x14ac:dyDescent="0.55000000000000004">
      <c r="A659">
        <v>0</v>
      </c>
      <c r="B659" t="s">
        <v>1440</v>
      </c>
      <c r="C659" t="str">
        <f>"S22.040"</f>
        <v>S22.040</v>
      </c>
      <c r="D659" t="s">
        <v>659</v>
      </c>
    </row>
    <row r="660" spans="1:4" x14ac:dyDescent="0.55000000000000004">
      <c r="A660">
        <v>0</v>
      </c>
      <c r="B660" t="s">
        <v>1440</v>
      </c>
      <c r="C660" t="str">
        <f>"S22.041"</f>
        <v>S22.041</v>
      </c>
      <c r="D660" t="s">
        <v>660</v>
      </c>
    </row>
    <row r="661" spans="1:4" x14ac:dyDescent="0.55000000000000004">
      <c r="A661">
        <v>0</v>
      </c>
      <c r="B661" t="s">
        <v>1440</v>
      </c>
      <c r="C661" t="str">
        <f>"S22.050"</f>
        <v>S22.050</v>
      </c>
      <c r="D661" t="s">
        <v>661</v>
      </c>
    </row>
    <row r="662" spans="1:4" x14ac:dyDescent="0.55000000000000004">
      <c r="A662">
        <v>0</v>
      </c>
      <c r="B662" t="s">
        <v>1440</v>
      </c>
      <c r="C662" t="str">
        <f>"S22.051"</f>
        <v>S22.051</v>
      </c>
      <c r="D662" t="s">
        <v>662</v>
      </c>
    </row>
    <row r="663" spans="1:4" x14ac:dyDescent="0.55000000000000004">
      <c r="A663">
        <v>0</v>
      </c>
      <c r="B663" t="s">
        <v>1440</v>
      </c>
      <c r="C663" t="str">
        <f>"S22.090"</f>
        <v>S22.090</v>
      </c>
      <c r="D663" t="s">
        <v>663</v>
      </c>
    </row>
    <row r="664" spans="1:4" x14ac:dyDescent="0.55000000000000004">
      <c r="A664">
        <v>0</v>
      </c>
      <c r="B664" t="s">
        <v>1440</v>
      </c>
      <c r="C664" t="str">
        <f>"S22.091"</f>
        <v>S22.091</v>
      </c>
      <c r="D664" t="s">
        <v>664</v>
      </c>
    </row>
    <row r="665" spans="1:4" x14ac:dyDescent="0.55000000000000004">
      <c r="A665">
        <v>0</v>
      </c>
      <c r="B665" t="s">
        <v>1440</v>
      </c>
      <c r="C665" t="str">
        <f>"S22.1"</f>
        <v>S22.1</v>
      </c>
      <c r="D665" t="s">
        <v>665</v>
      </c>
    </row>
    <row r="666" spans="1:4" x14ac:dyDescent="0.55000000000000004">
      <c r="A666">
        <v>0</v>
      </c>
      <c r="B666" t="s">
        <v>1440</v>
      </c>
      <c r="C666" t="str">
        <f>"S22.100"</f>
        <v>S22.100</v>
      </c>
      <c r="D666" t="s">
        <v>666</v>
      </c>
    </row>
    <row r="667" spans="1:4" x14ac:dyDescent="0.55000000000000004">
      <c r="A667">
        <v>0</v>
      </c>
      <c r="B667" t="s">
        <v>1440</v>
      </c>
      <c r="C667" t="str">
        <f>"S22.101"</f>
        <v>S22.101</v>
      </c>
      <c r="D667" t="s">
        <v>667</v>
      </c>
    </row>
    <row r="668" spans="1:4" x14ac:dyDescent="0.55000000000000004">
      <c r="A668">
        <v>0</v>
      </c>
      <c r="B668" t="s">
        <v>1440</v>
      </c>
      <c r="C668" t="str">
        <f>"S22.11"</f>
        <v>S22.11</v>
      </c>
      <c r="D668" t="s">
        <v>668</v>
      </c>
    </row>
    <row r="669" spans="1:4" x14ac:dyDescent="0.55000000000000004">
      <c r="A669">
        <v>0</v>
      </c>
      <c r="B669" t="s">
        <v>1440</v>
      </c>
      <c r="C669" t="str">
        <f>"S22.110"</f>
        <v>S22.110</v>
      </c>
      <c r="D669" t="s">
        <v>669</v>
      </c>
    </row>
    <row r="670" spans="1:4" x14ac:dyDescent="0.55000000000000004">
      <c r="A670">
        <v>0</v>
      </c>
      <c r="B670" t="s">
        <v>1440</v>
      </c>
      <c r="C670" t="str">
        <f>"S22.111"</f>
        <v>S22.111</v>
      </c>
      <c r="D670" t="s">
        <v>670</v>
      </c>
    </row>
    <row r="671" spans="1:4" x14ac:dyDescent="0.55000000000000004">
      <c r="A671">
        <v>0</v>
      </c>
      <c r="B671" t="s">
        <v>1440</v>
      </c>
      <c r="C671" t="str">
        <f>"S22.120"</f>
        <v>S22.120</v>
      </c>
      <c r="D671" t="s">
        <v>671</v>
      </c>
    </row>
    <row r="672" spans="1:4" x14ac:dyDescent="0.55000000000000004">
      <c r="A672">
        <v>0</v>
      </c>
      <c r="B672" t="s">
        <v>1440</v>
      </c>
      <c r="C672" t="str">
        <f>"S22.121"</f>
        <v>S22.121</v>
      </c>
      <c r="D672" t="s">
        <v>672</v>
      </c>
    </row>
    <row r="673" spans="1:4" x14ac:dyDescent="0.55000000000000004">
      <c r="A673">
        <v>0</v>
      </c>
      <c r="B673" t="s">
        <v>1440</v>
      </c>
      <c r="C673" t="str">
        <f>"S22.180"</f>
        <v>S22.180</v>
      </c>
      <c r="D673" t="s">
        <v>673</v>
      </c>
    </row>
    <row r="674" spans="1:4" x14ac:dyDescent="0.55000000000000004">
      <c r="A674">
        <v>0</v>
      </c>
      <c r="B674" t="s">
        <v>1440</v>
      </c>
      <c r="C674" t="str">
        <f>"S22.181"</f>
        <v>S22.181</v>
      </c>
      <c r="D674" t="s">
        <v>674</v>
      </c>
    </row>
    <row r="675" spans="1:4" x14ac:dyDescent="0.55000000000000004">
      <c r="A675">
        <v>0</v>
      </c>
      <c r="B675" t="s">
        <v>1440</v>
      </c>
      <c r="C675" t="str">
        <f>"S22.190"</f>
        <v>S22.190</v>
      </c>
      <c r="D675" t="s">
        <v>675</v>
      </c>
    </row>
    <row r="676" spans="1:4" x14ac:dyDescent="0.55000000000000004">
      <c r="A676">
        <v>0</v>
      </c>
      <c r="B676" t="s">
        <v>1440</v>
      </c>
      <c r="C676" t="str">
        <f>"S22.191"</f>
        <v>S22.191</v>
      </c>
      <c r="D676" t="s">
        <v>676</v>
      </c>
    </row>
    <row r="677" spans="1:4" x14ac:dyDescent="0.55000000000000004">
      <c r="A677">
        <v>0</v>
      </c>
      <c r="B677" t="s">
        <v>1440</v>
      </c>
      <c r="C677" t="str">
        <f>"S22.2"</f>
        <v>S22.2</v>
      </c>
      <c r="D677" t="s">
        <v>677</v>
      </c>
    </row>
    <row r="678" spans="1:4" x14ac:dyDescent="0.55000000000000004">
      <c r="A678">
        <v>0</v>
      </c>
      <c r="B678" t="s">
        <v>1440</v>
      </c>
      <c r="C678" t="str">
        <f>"S22.20"</f>
        <v>S22.20</v>
      </c>
      <c r="D678" t="s">
        <v>678</v>
      </c>
    </row>
    <row r="679" spans="1:4" x14ac:dyDescent="0.55000000000000004">
      <c r="A679">
        <v>0</v>
      </c>
      <c r="B679" t="s">
        <v>1440</v>
      </c>
      <c r="C679" t="str">
        <f>"S22.3"</f>
        <v>S22.3</v>
      </c>
      <c r="D679" t="s">
        <v>679</v>
      </c>
    </row>
    <row r="680" spans="1:4" x14ac:dyDescent="0.55000000000000004">
      <c r="A680">
        <v>0</v>
      </c>
      <c r="B680" t="s">
        <v>1440</v>
      </c>
      <c r="C680" t="str">
        <f>"S22.30"</f>
        <v>S22.30</v>
      </c>
      <c r="D680" t="s">
        <v>680</v>
      </c>
    </row>
    <row r="681" spans="1:4" x14ac:dyDescent="0.55000000000000004">
      <c r="A681">
        <v>0</v>
      </c>
      <c r="B681" t="s">
        <v>1440</v>
      </c>
      <c r="C681" t="str">
        <f>"S22.31"</f>
        <v>S22.31</v>
      </c>
      <c r="D681" t="s">
        <v>681</v>
      </c>
    </row>
    <row r="682" spans="1:4" x14ac:dyDescent="0.55000000000000004">
      <c r="A682">
        <v>0</v>
      </c>
      <c r="B682" t="s">
        <v>1440</v>
      </c>
      <c r="C682" t="str">
        <f>"S22.4"</f>
        <v>S22.4</v>
      </c>
      <c r="D682" t="s">
        <v>682</v>
      </c>
    </row>
    <row r="683" spans="1:4" x14ac:dyDescent="0.55000000000000004">
      <c r="A683">
        <v>0</v>
      </c>
      <c r="B683" t="s">
        <v>1440</v>
      </c>
      <c r="C683" t="str">
        <f>"S22.40"</f>
        <v>S22.40</v>
      </c>
      <c r="D683" t="s">
        <v>683</v>
      </c>
    </row>
    <row r="684" spans="1:4" x14ac:dyDescent="0.55000000000000004">
      <c r="A684">
        <v>0</v>
      </c>
      <c r="B684" t="s">
        <v>1440</v>
      </c>
      <c r="C684" t="str">
        <f>"S22.8"</f>
        <v>S22.8</v>
      </c>
      <c r="D684" t="s">
        <v>684</v>
      </c>
    </row>
    <row r="685" spans="1:4" x14ac:dyDescent="0.55000000000000004">
      <c r="A685">
        <v>0</v>
      </c>
      <c r="B685" t="s">
        <v>1440</v>
      </c>
      <c r="C685" t="str">
        <f>"S22.80"</f>
        <v>S22.80</v>
      </c>
      <c r="D685" t="s">
        <v>685</v>
      </c>
    </row>
    <row r="686" spans="1:4" x14ac:dyDescent="0.55000000000000004">
      <c r="A686">
        <v>0</v>
      </c>
      <c r="B686" t="s">
        <v>1440</v>
      </c>
      <c r="C686" t="str">
        <f>"S22.9"</f>
        <v>S22.9</v>
      </c>
      <c r="D686" t="s">
        <v>686</v>
      </c>
    </row>
    <row r="687" spans="1:4" x14ac:dyDescent="0.55000000000000004">
      <c r="A687">
        <v>0</v>
      </c>
      <c r="B687" t="s">
        <v>1440</v>
      </c>
      <c r="C687" t="str">
        <f>"S22.90"</f>
        <v>S22.90</v>
      </c>
      <c r="D687" t="s">
        <v>687</v>
      </c>
    </row>
    <row r="688" spans="1:4" x14ac:dyDescent="0.55000000000000004">
      <c r="A688">
        <v>0</v>
      </c>
      <c r="B688" t="s">
        <v>1440</v>
      </c>
      <c r="C688" t="str">
        <f>"S22.91"</f>
        <v>S22.91</v>
      </c>
      <c r="D688" t="s">
        <v>688</v>
      </c>
    </row>
    <row r="689" spans="1:4" x14ac:dyDescent="0.55000000000000004">
      <c r="A689">
        <v>0</v>
      </c>
      <c r="B689" t="s">
        <v>1440</v>
      </c>
      <c r="C689" t="str">
        <f>"S23.0"</f>
        <v>S23.0</v>
      </c>
      <c r="D689" t="s">
        <v>689</v>
      </c>
    </row>
    <row r="690" spans="1:4" x14ac:dyDescent="0.55000000000000004">
      <c r="A690">
        <v>0</v>
      </c>
      <c r="B690" t="s">
        <v>1440</v>
      </c>
      <c r="C690" t="str">
        <f>"S23.1"</f>
        <v>S23.1</v>
      </c>
      <c r="D690" t="s">
        <v>690</v>
      </c>
    </row>
    <row r="691" spans="1:4" x14ac:dyDescent="0.55000000000000004">
      <c r="A691">
        <v>0</v>
      </c>
      <c r="B691" t="s">
        <v>1440</v>
      </c>
      <c r="C691" t="str">
        <f>"S23.2"</f>
        <v>S23.2</v>
      </c>
      <c r="D691" t="s">
        <v>691</v>
      </c>
    </row>
    <row r="692" spans="1:4" x14ac:dyDescent="0.55000000000000004">
      <c r="A692">
        <v>0</v>
      </c>
      <c r="B692" t="s">
        <v>1440</v>
      </c>
      <c r="C692" t="str">
        <f>"S23.3"</f>
        <v>S23.3</v>
      </c>
      <c r="D692" t="s">
        <v>692</v>
      </c>
    </row>
    <row r="693" spans="1:4" x14ac:dyDescent="0.55000000000000004">
      <c r="A693">
        <v>0</v>
      </c>
      <c r="B693" t="s">
        <v>1440</v>
      </c>
      <c r="C693" t="str">
        <f>"S23.4"</f>
        <v>S23.4</v>
      </c>
      <c r="D693" t="s">
        <v>693</v>
      </c>
    </row>
    <row r="694" spans="1:4" x14ac:dyDescent="0.55000000000000004">
      <c r="A694">
        <v>0</v>
      </c>
      <c r="B694" t="s">
        <v>1440</v>
      </c>
      <c r="C694" t="str">
        <f>"S23.5"</f>
        <v>S23.5</v>
      </c>
      <c r="D694" t="s">
        <v>694</v>
      </c>
    </row>
    <row r="695" spans="1:4" x14ac:dyDescent="0.55000000000000004">
      <c r="A695">
        <v>0</v>
      </c>
      <c r="B695" t="s">
        <v>1440</v>
      </c>
      <c r="C695" t="str">
        <f>"S24.2"</f>
        <v>S24.2</v>
      </c>
      <c r="D695" t="s">
        <v>695</v>
      </c>
    </row>
    <row r="696" spans="1:4" x14ac:dyDescent="0.55000000000000004">
      <c r="A696">
        <v>0</v>
      </c>
      <c r="B696" t="s">
        <v>1440</v>
      </c>
      <c r="C696" t="str">
        <f>"S24.4"</f>
        <v>S24.4</v>
      </c>
      <c r="D696" t="s">
        <v>696</v>
      </c>
    </row>
    <row r="697" spans="1:4" x14ac:dyDescent="0.55000000000000004">
      <c r="A697">
        <v>0</v>
      </c>
      <c r="B697" t="s">
        <v>1440</v>
      </c>
      <c r="C697" t="str">
        <f>"S24.6"</f>
        <v>S24.6</v>
      </c>
      <c r="D697" t="s">
        <v>697</v>
      </c>
    </row>
    <row r="698" spans="1:4" x14ac:dyDescent="0.55000000000000004">
      <c r="A698">
        <v>0</v>
      </c>
      <c r="B698" t="s">
        <v>1440</v>
      </c>
      <c r="C698" t="str">
        <f>"S25.5"</f>
        <v>S25.5</v>
      </c>
      <c r="D698" t="s">
        <v>698</v>
      </c>
    </row>
    <row r="699" spans="1:4" x14ac:dyDescent="0.55000000000000004">
      <c r="A699">
        <v>0</v>
      </c>
      <c r="B699" t="s">
        <v>1440</v>
      </c>
      <c r="C699" t="str">
        <f>"S25.8"</f>
        <v>S25.8</v>
      </c>
      <c r="D699" t="s">
        <v>699</v>
      </c>
    </row>
    <row r="700" spans="1:4" x14ac:dyDescent="0.55000000000000004">
      <c r="A700">
        <v>0</v>
      </c>
      <c r="B700" t="s">
        <v>1440</v>
      </c>
      <c r="C700" t="str">
        <f>"S25.9"</f>
        <v>S25.9</v>
      </c>
      <c r="D700" t="s">
        <v>700</v>
      </c>
    </row>
    <row r="701" spans="1:4" x14ac:dyDescent="0.55000000000000004">
      <c r="A701">
        <v>0</v>
      </c>
      <c r="B701" t="s">
        <v>1440</v>
      </c>
      <c r="C701" t="str">
        <f>"S27.9"</f>
        <v>S27.9</v>
      </c>
      <c r="D701" t="s">
        <v>701</v>
      </c>
    </row>
    <row r="702" spans="1:4" x14ac:dyDescent="0.55000000000000004">
      <c r="A702">
        <v>0</v>
      </c>
      <c r="B702" t="s">
        <v>1440</v>
      </c>
      <c r="C702" t="str">
        <f>"S27.90"</f>
        <v>S27.90</v>
      </c>
      <c r="D702" t="s">
        <v>702</v>
      </c>
    </row>
    <row r="703" spans="1:4" x14ac:dyDescent="0.55000000000000004">
      <c r="A703">
        <v>0</v>
      </c>
      <c r="B703" t="s">
        <v>1440</v>
      </c>
      <c r="C703" t="str">
        <f>"S27.91"</f>
        <v>S27.91</v>
      </c>
      <c r="D703" t="s">
        <v>703</v>
      </c>
    </row>
    <row r="704" spans="1:4" x14ac:dyDescent="0.55000000000000004">
      <c r="A704">
        <v>0</v>
      </c>
      <c r="B704" t="s">
        <v>1440</v>
      </c>
      <c r="C704" t="str">
        <f>"S28.0"</f>
        <v>S28.0</v>
      </c>
      <c r="D704" t="s">
        <v>704</v>
      </c>
    </row>
    <row r="705" spans="1:4" x14ac:dyDescent="0.55000000000000004">
      <c r="A705">
        <v>0</v>
      </c>
      <c r="B705" t="s">
        <v>1440</v>
      </c>
      <c r="C705" t="str">
        <f>"S29.0"</f>
        <v>S29.0</v>
      </c>
      <c r="D705" t="s">
        <v>705</v>
      </c>
    </row>
    <row r="706" spans="1:4" x14ac:dyDescent="0.55000000000000004">
      <c r="A706">
        <v>0</v>
      </c>
      <c r="B706" t="s">
        <v>1440</v>
      </c>
      <c r="C706" t="str">
        <f>"S29.7"</f>
        <v>S29.7</v>
      </c>
      <c r="D706" t="s">
        <v>706</v>
      </c>
    </row>
    <row r="707" spans="1:4" x14ac:dyDescent="0.55000000000000004">
      <c r="A707">
        <v>0</v>
      </c>
      <c r="B707" t="s">
        <v>1440</v>
      </c>
      <c r="C707" t="str">
        <f>"S29.8"</f>
        <v>S29.8</v>
      </c>
      <c r="D707" t="s">
        <v>707</v>
      </c>
    </row>
    <row r="708" spans="1:4" x14ac:dyDescent="0.55000000000000004">
      <c r="A708">
        <v>0</v>
      </c>
      <c r="B708" t="s">
        <v>1440</v>
      </c>
      <c r="C708" t="str">
        <f>"S29.9"</f>
        <v>S29.9</v>
      </c>
      <c r="D708" t="s">
        <v>708</v>
      </c>
    </row>
    <row r="709" spans="1:4" x14ac:dyDescent="0.55000000000000004">
      <c r="A709">
        <v>0</v>
      </c>
      <c r="B709" t="s">
        <v>1440</v>
      </c>
      <c r="C709" t="str">
        <f>"S30.0"</f>
        <v>S30.0</v>
      </c>
      <c r="D709" t="s">
        <v>709</v>
      </c>
    </row>
    <row r="710" spans="1:4" x14ac:dyDescent="0.55000000000000004">
      <c r="A710">
        <v>0</v>
      </c>
      <c r="B710" t="s">
        <v>1440</v>
      </c>
      <c r="C710" t="str">
        <f>"S30.1"</f>
        <v>S30.1</v>
      </c>
      <c r="D710" t="s">
        <v>710</v>
      </c>
    </row>
    <row r="711" spans="1:4" x14ac:dyDescent="0.55000000000000004">
      <c r="A711">
        <v>0</v>
      </c>
      <c r="B711" t="s">
        <v>1440</v>
      </c>
      <c r="C711" t="str">
        <f>"S30.2"</f>
        <v>S30.2</v>
      </c>
      <c r="D711" t="s">
        <v>711</v>
      </c>
    </row>
    <row r="712" spans="1:4" x14ac:dyDescent="0.55000000000000004">
      <c r="A712">
        <v>0</v>
      </c>
      <c r="B712" t="s">
        <v>1440</v>
      </c>
      <c r="C712" t="str">
        <f>"S30.7"</f>
        <v>S30.7</v>
      </c>
      <c r="D712" t="s">
        <v>712</v>
      </c>
    </row>
    <row r="713" spans="1:4" x14ac:dyDescent="0.55000000000000004">
      <c r="A713">
        <v>0</v>
      </c>
      <c r="B713" t="s">
        <v>1440</v>
      </c>
      <c r="C713" t="str">
        <f>"S30.8"</f>
        <v>S30.8</v>
      </c>
      <c r="D713" t="s">
        <v>713</v>
      </c>
    </row>
    <row r="714" spans="1:4" x14ac:dyDescent="0.55000000000000004">
      <c r="A714">
        <v>0</v>
      </c>
      <c r="B714" t="s">
        <v>1440</v>
      </c>
      <c r="C714" t="str">
        <f>"S30.9"</f>
        <v>S30.9</v>
      </c>
      <c r="D714" t="s">
        <v>714</v>
      </c>
    </row>
    <row r="715" spans="1:4" x14ac:dyDescent="0.55000000000000004">
      <c r="A715">
        <v>0</v>
      </c>
      <c r="B715" t="s">
        <v>1440</v>
      </c>
      <c r="C715" t="str">
        <f>"S31.0"</f>
        <v>S31.0</v>
      </c>
      <c r="D715" t="s">
        <v>715</v>
      </c>
    </row>
    <row r="716" spans="1:4" x14ac:dyDescent="0.55000000000000004">
      <c r="A716">
        <v>0</v>
      </c>
      <c r="B716" t="s">
        <v>1440</v>
      </c>
      <c r="C716" t="str">
        <f>"S31.1"</f>
        <v>S31.1</v>
      </c>
      <c r="D716" t="s">
        <v>716</v>
      </c>
    </row>
    <row r="717" spans="1:4" x14ac:dyDescent="0.55000000000000004">
      <c r="A717">
        <v>0</v>
      </c>
      <c r="B717" t="s">
        <v>1440</v>
      </c>
      <c r="C717" t="str">
        <f>"S31.2"</f>
        <v>S31.2</v>
      </c>
      <c r="D717" t="s">
        <v>717</v>
      </c>
    </row>
    <row r="718" spans="1:4" x14ac:dyDescent="0.55000000000000004">
      <c r="A718">
        <v>0</v>
      </c>
      <c r="B718" t="s">
        <v>1440</v>
      </c>
      <c r="C718" t="str">
        <f>"S31.3"</f>
        <v>S31.3</v>
      </c>
      <c r="D718" t="s">
        <v>718</v>
      </c>
    </row>
    <row r="719" spans="1:4" x14ac:dyDescent="0.55000000000000004">
      <c r="A719">
        <v>0</v>
      </c>
      <c r="B719" t="s">
        <v>1440</v>
      </c>
      <c r="C719" t="str">
        <f>"S31.4"</f>
        <v>S31.4</v>
      </c>
      <c r="D719" t="s">
        <v>719</v>
      </c>
    </row>
    <row r="720" spans="1:4" x14ac:dyDescent="0.55000000000000004">
      <c r="A720">
        <v>0</v>
      </c>
      <c r="B720" t="s">
        <v>1440</v>
      </c>
      <c r="C720" t="str">
        <f>"S31.5"</f>
        <v>S31.5</v>
      </c>
      <c r="D720" t="s">
        <v>720</v>
      </c>
    </row>
    <row r="721" spans="1:4" x14ac:dyDescent="0.55000000000000004">
      <c r="A721">
        <v>0</v>
      </c>
      <c r="B721" t="s">
        <v>1440</v>
      </c>
      <c r="C721" t="str">
        <f>"S31.7"</f>
        <v>S31.7</v>
      </c>
      <c r="D721" t="s">
        <v>721</v>
      </c>
    </row>
    <row r="722" spans="1:4" x14ac:dyDescent="0.55000000000000004">
      <c r="A722">
        <v>0</v>
      </c>
      <c r="B722" t="s">
        <v>1440</v>
      </c>
      <c r="C722" t="str">
        <f>"S31.8"</f>
        <v>S31.8</v>
      </c>
      <c r="D722" t="s">
        <v>722</v>
      </c>
    </row>
    <row r="723" spans="1:4" x14ac:dyDescent="0.55000000000000004">
      <c r="A723">
        <v>0</v>
      </c>
      <c r="B723" t="s">
        <v>1440</v>
      </c>
      <c r="C723" t="str">
        <f>"S32.0"</f>
        <v>S32.0</v>
      </c>
      <c r="D723" t="s">
        <v>723</v>
      </c>
    </row>
    <row r="724" spans="1:4" x14ac:dyDescent="0.55000000000000004">
      <c r="A724">
        <v>0</v>
      </c>
      <c r="B724" t="s">
        <v>1440</v>
      </c>
      <c r="C724" t="str">
        <f>"S32.00"</f>
        <v>S32.00</v>
      </c>
      <c r="D724" t="s">
        <v>724</v>
      </c>
    </row>
    <row r="725" spans="1:4" x14ac:dyDescent="0.55000000000000004">
      <c r="A725">
        <v>0</v>
      </c>
      <c r="B725" t="s">
        <v>1440</v>
      </c>
      <c r="C725" t="str">
        <f>"S32.000"</f>
        <v>S32.000</v>
      </c>
      <c r="D725" t="s">
        <v>725</v>
      </c>
    </row>
    <row r="726" spans="1:4" x14ac:dyDescent="0.55000000000000004">
      <c r="A726">
        <v>0</v>
      </c>
      <c r="B726" t="s">
        <v>1440</v>
      </c>
      <c r="C726" t="str">
        <f>"S32.001"</f>
        <v>S32.001</v>
      </c>
      <c r="D726" t="s">
        <v>726</v>
      </c>
    </row>
    <row r="727" spans="1:4" x14ac:dyDescent="0.55000000000000004">
      <c r="A727">
        <v>0</v>
      </c>
      <c r="B727" t="s">
        <v>1440</v>
      </c>
      <c r="C727" t="str">
        <f>"S32.01"</f>
        <v>S32.01</v>
      </c>
      <c r="D727" t="s">
        <v>727</v>
      </c>
    </row>
    <row r="728" spans="1:4" x14ac:dyDescent="0.55000000000000004">
      <c r="A728">
        <v>0</v>
      </c>
      <c r="B728" t="s">
        <v>1440</v>
      </c>
      <c r="C728" t="str">
        <f>"S32.010"</f>
        <v>S32.010</v>
      </c>
      <c r="D728" t="s">
        <v>728</v>
      </c>
    </row>
    <row r="729" spans="1:4" x14ac:dyDescent="0.55000000000000004">
      <c r="A729">
        <v>0</v>
      </c>
      <c r="B729" t="s">
        <v>1440</v>
      </c>
      <c r="C729" t="str">
        <f>"S32.011"</f>
        <v>S32.011</v>
      </c>
      <c r="D729" t="s">
        <v>729</v>
      </c>
    </row>
    <row r="730" spans="1:4" x14ac:dyDescent="0.55000000000000004">
      <c r="A730">
        <v>0</v>
      </c>
      <c r="B730" t="s">
        <v>1440</v>
      </c>
      <c r="C730" t="str">
        <f>"S32.020"</f>
        <v>S32.020</v>
      </c>
      <c r="D730" t="s">
        <v>730</v>
      </c>
    </row>
    <row r="731" spans="1:4" x14ac:dyDescent="0.55000000000000004">
      <c r="A731">
        <v>0</v>
      </c>
      <c r="B731" t="s">
        <v>1440</v>
      </c>
      <c r="C731" t="str">
        <f>"S32.021"</f>
        <v>S32.021</v>
      </c>
      <c r="D731" t="s">
        <v>731</v>
      </c>
    </row>
    <row r="732" spans="1:4" x14ac:dyDescent="0.55000000000000004">
      <c r="A732">
        <v>0</v>
      </c>
      <c r="B732" t="s">
        <v>1440</v>
      </c>
      <c r="C732" t="str">
        <f>"S32.030"</f>
        <v>S32.030</v>
      </c>
      <c r="D732" t="s">
        <v>732</v>
      </c>
    </row>
    <row r="733" spans="1:4" x14ac:dyDescent="0.55000000000000004">
      <c r="A733">
        <v>0</v>
      </c>
      <c r="B733" t="s">
        <v>1440</v>
      </c>
      <c r="C733" t="str">
        <f>"S32.031"</f>
        <v>S32.031</v>
      </c>
      <c r="D733" t="s">
        <v>733</v>
      </c>
    </row>
    <row r="734" spans="1:4" x14ac:dyDescent="0.55000000000000004">
      <c r="A734">
        <v>0</v>
      </c>
      <c r="B734" t="s">
        <v>1440</v>
      </c>
      <c r="C734" t="str">
        <f>"S32.040"</f>
        <v>S32.040</v>
      </c>
      <c r="D734" t="s">
        <v>734</v>
      </c>
    </row>
    <row r="735" spans="1:4" x14ac:dyDescent="0.55000000000000004">
      <c r="A735">
        <v>0</v>
      </c>
      <c r="B735" t="s">
        <v>1440</v>
      </c>
      <c r="C735" t="str">
        <f>"S32.041"</f>
        <v>S32.041</v>
      </c>
      <c r="D735" t="s">
        <v>735</v>
      </c>
    </row>
    <row r="736" spans="1:4" x14ac:dyDescent="0.55000000000000004">
      <c r="A736">
        <v>0</v>
      </c>
      <c r="B736" t="s">
        <v>1440</v>
      </c>
      <c r="C736" t="str">
        <f>"S32.050"</f>
        <v>S32.050</v>
      </c>
      <c r="D736" t="s">
        <v>736</v>
      </c>
    </row>
    <row r="737" spans="1:4" x14ac:dyDescent="0.55000000000000004">
      <c r="A737">
        <v>0</v>
      </c>
      <c r="B737" t="s">
        <v>1440</v>
      </c>
      <c r="C737" t="str">
        <f>"S32.051"</f>
        <v>S32.051</v>
      </c>
      <c r="D737" t="s">
        <v>737</v>
      </c>
    </row>
    <row r="738" spans="1:4" x14ac:dyDescent="0.55000000000000004">
      <c r="A738">
        <v>0</v>
      </c>
      <c r="B738" t="s">
        <v>1440</v>
      </c>
      <c r="C738" t="str">
        <f>"S32.090"</f>
        <v>S32.090</v>
      </c>
      <c r="D738" t="s">
        <v>738</v>
      </c>
    </row>
    <row r="739" spans="1:4" x14ac:dyDescent="0.55000000000000004">
      <c r="A739">
        <v>0</v>
      </c>
      <c r="B739" t="s">
        <v>1440</v>
      </c>
      <c r="C739" t="str">
        <f>"S32.091"</f>
        <v>S32.091</v>
      </c>
      <c r="D739" t="s">
        <v>739</v>
      </c>
    </row>
    <row r="740" spans="1:4" x14ac:dyDescent="0.55000000000000004">
      <c r="A740">
        <v>0</v>
      </c>
      <c r="B740" t="s">
        <v>1440</v>
      </c>
      <c r="C740" t="str">
        <f>"S32.2"</f>
        <v>S32.2</v>
      </c>
      <c r="D740" t="s">
        <v>740</v>
      </c>
    </row>
    <row r="741" spans="1:4" x14ac:dyDescent="0.55000000000000004">
      <c r="A741">
        <v>0</v>
      </c>
      <c r="B741" t="s">
        <v>1440</v>
      </c>
      <c r="C741" t="str">
        <f>"S32.20"</f>
        <v>S32.20</v>
      </c>
      <c r="D741" t="s">
        <v>741</v>
      </c>
    </row>
    <row r="742" spans="1:4" x14ac:dyDescent="0.55000000000000004">
      <c r="A742">
        <v>0</v>
      </c>
      <c r="B742" t="s">
        <v>1440</v>
      </c>
      <c r="C742" t="str">
        <f>"S32.21"</f>
        <v>S32.21</v>
      </c>
      <c r="D742" t="s">
        <v>742</v>
      </c>
    </row>
    <row r="743" spans="1:4" x14ac:dyDescent="0.55000000000000004">
      <c r="A743">
        <v>0</v>
      </c>
      <c r="B743" t="s">
        <v>1440</v>
      </c>
      <c r="C743" t="str">
        <f>"S32.600"</f>
        <v>S32.600</v>
      </c>
      <c r="D743" t="s">
        <v>743</v>
      </c>
    </row>
    <row r="744" spans="1:4" x14ac:dyDescent="0.55000000000000004">
      <c r="A744">
        <v>0</v>
      </c>
      <c r="B744" t="s">
        <v>1440</v>
      </c>
      <c r="C744" t="str">
        <f>"S32.610"</f>
        <v>S32.610</v>
      </c>
      <c r="D744" t="s">
        <v>744</v>
      </c>
    </row>
    <row r="745" spans="1:4" x14ac:dyDescent="0.55000000000000004">
      <c r="A745">
        <v>0</v>
      </c>
      <c r="B745" t="s">
        <v>1440</v>
      </c>
      <c r="C745" t="str">
        <f>"S32.620"</f>
        <v>S32.620</v>
      </c>
      <c r="D745" t="s">
        <v>745</v>
      </c>
    </row>
    <row r="746" spans="1:4" x14ac:dyDescent="0.55000000000000004">
      <c r="A746">
        <v>0</v>
      </c>
      <c r="B746" t="s">
        <v>1440</v>
      </c>
      <c r="C746" t="str">
        <f>"S32.680"</f>
        <v>S32.680</v>
      </c>
      <c r="D746" t="s">
        <v>746</v>
      </c>
    </row>
    <row r="747" spans="1:4" x14ac:dyDescent="0.55000000000000004">
      <c r="A747">
        <v>0</v>
      </c>
      <c r="B747" t="s">
        <v>1440</v>
      </c>
      <c r="C747" t="str">
        <f>"S32.690"</f>
        <v>S32.690</v>
      </c>
      <c r="D747" t="s">
        <v>747</v>
      </c>
    </row>
    <row r="748" spans="1:4" x14ac:dyDescent="0.55000000000000004">
      <c r="A748">
        <v>0</v>
      </c>
      <c r="B748" t="s">
        <v>1440</v>
      </c>
      <c r="C748" t="str">
        <f>"S32.7"</f>
        <v>S32.7</v>
      </c>
      <c r="D748" t="s">
        <v>748</v>
      </c>
    </row>
    <row r="749" spans="1:4" x14ac:dyDescent="0.55000000000000004">
      <c r="A749">
        <v>0</v>
      </c>
      <c r="B749" t="s">
        <v>1440</v>
      </c>
      <c r="C749" t="str">
        <f>"S32.70"</f>
        <v>S32.70</v>
      </c>
      <c r="D749" t="s">
        <v>749</v>
      </c>
    </row>
    <row r="750" spans="1:4" x14ac:dyDescent="0.55000000000000004">
      <c r="A750">
        <v>0</v>
      </c>
      <c r="B750" t="s">
        <v>1440</v>
      </c>
      <c r="C750" t="str">
        <f>"S32.8"</f>
        <v>S32.8</v>
      </c>
      <c r="D750" t="s">
        <v>750</v>
      </c>
    </row>
    <row r="751" spans="1:4" x14ac:dyDescent="0.55000000000000004">
      <c r="A751">
        <v>0</v>
      </c>
      <c r="B751" t="s">
        <v>1440</v>
      </c>
      <c r="C751" t="str">
        <f>"S32.80"</f>
        <v>S32.80</v>
      </c>
      <c r="D751" t="s">
        <v>751</v>
      </c>
    </row>
    <row r="752" spans="1:4" x14ac:dyDescent="0.55000000000000004">
      <c r="A752">
        <v>0</v>
      </c>
      <c r="B752" t="s">
        <v>1440</v>
      </c>
      <c r="C752" t="str">
        <f>"S33.0"</f>
        <v>S33.0</v>
      </c>
      <c r="D752" t="s">
        <v>752</v>
      </c>
    </row>
    <row r="753" spans="1:4" x14ac:dyDescent="0.55000000000000004">
      <c r="A753">
        <v>0</v>
      </c>
      <c r="B753" t="s">
        <v>1440</v>
      </c>
      <c r="C753" t="str">
        <f>"S33.1"</f>
        <v>S33.1</v>
      </c>
      <c r="D753" t="s">
        <v>753</v>
      </c>
    </row>
    <row r="754" spans="1:4" x14ac:dyDescent="0.55000000000000004">
      <c r="A754">
        <v>0</v>
      </c>
      <c r="B754" t="s">
        <v>1440</v>
      </c>
      <c r="C754" t="str">
        <f>"S33.2"</f>
        <v>S33.2</v>
      </c>
      <c r="D754" t="s">
        <v>754</v>
      </c>
    </row>
    <row r="755" spans="1:4" x14ac:dyDescent="0.55000000000000004">
      <c r="A755">
        <v>0</v>
      </c>
      <c r="B755" t="s">
        <v>1440</v>
      </c>
      <c r="C755" t="str">
        <f>"S33.3"</f>
        <v>S33.3</v>
      </c>
      <c r="D755" t="s">
        <v>755</v>
      </c>
    </row>
    <row r="756" spans="1:4" x14ac:dyDescent="0.55000000000000004">
      <c r="A756">
        <v>0</v>
      </c>
      <c r="B756" t="s">
        <v>1440</v>
      </c>
      <c r="C756" t="str">
        <f>"S33.4"</f>
        <v>S33.4</v>
      </c>
      <c r="D756" t="s">
        <v>756</v>
      </c>
    </row>
    <row r="757" spans="1:4" x14ac:dyDescent="0.55000000000000004">
      <c r="A757">
        <v>0</v>
      </c>
      <c r="B757" t="s">
        <v>1440</v>
      </c>
      <c r="C757" t="str">
        <f>"S33.5"</f>
        <v>S33.5</v>
      </c>
      <c r="D757" t="s">
        <v>757</v>
      </c>
    </row>
    <row r="758" spans="1:4" x14ac:dyDescent="0.55000000000000004">
      <c r="A758">
        <v>0</v>
      </c>
      <c r="B758" t="s">
        <v>1440</v>
      </c>
      <c r="C758" t="str">
        <f>"S33.6"</f>
        <v>S33.6</v>
      </c>
      <c r="D758" t="s">
        <v>758</v>
      </c>
    </row>
    <row r="759" spans="1:4" x14ac:dyDescent="0.55000000000000004">
      <c r="A759">
        <v>0</v>
      </c>
      <c r="B759" t="s">
        <v>1440</v>
      </c>
      <c r="C759" t="str">
        <f>"S33.7"</f>
        <v>S33.7</v>
      </c>
      <c r="D759" t="s">
        <v>759</v>
      </c>
    </row>
    <row r="760" spans="1:4" x14ac:dyDescent="0.55000000000000004">
      <c r="A760">
        <v>0</v>
      </c>
      <c r="B760" t="s">
        <v>1440</v>
      </c>
      <c r="C760" t="str">
        <f>"S34.2"</f>
        <v>S34.2</v>
      </c>
      <c r="D760" t="s">
        <v>760</v>
      </c>
    </row>
    <row r="761" spans="1:4" x14ac:dyDescent="0.55000000000000004">
      <c r="A761">
        <v>0</v>
      </c>
      <c r="B761" t="s">
        <v>1440</v>
      </c>
      <c r="C761" t="str">
        <f>"S34.5"</f>
        <v>S34.5</v>
      </c>
      <c r="D761" t="s">
        <v>761</v>
      </c>
    </row>
    <row r="762" spans="1:4" x14ac:dyDescent="0.55000000000000004">
      <c r="A762">
        <v>0</v>
      </c>
      <c r="B762" t="s">
        <v>1440</v>
      </c>
      <c r="C762" t="str">
        <f>"S35.7"</f>
        <v>S35.7</v>
      </c>
      <c r="D762" t="s">
        <v>762</v>
      </c>
    </row>
    <row r="763" spans="1:4" x14ac:dyDescent="0.55000000000000004">
      <c r="A763">
        <v>0</v>
      </c>
      <c r="B763" t="s">
        <v>1440</v>
      </c>
      <c r="C763" t="str">
        <f>"S35.8"</f>
        <v>S35.8</v>
      </c>
      <c r="D763" t="s">
        <v>763</v>
      </c>
    </row>
    <row r="764" spans="1:4" x14ac:dyDescent="0.55000000000000004">
      <c r="A764">
        <v>0</v>
      </c>
      <c r="B764" t="s">
        <v>1440</v>
      </c>
      <c r="C764" t="str">
        <f>"S35.9"</f>
        <v>S35.9</v>
      </c>
      <c r="D764" t="s">
        <v>764</v>
      </c>
    </row>
    <row r="765" spans="1:4" x14ac:dyDescent="0.55000000000000004">
      <c r="A765">
        <v>0</v>
      </c>
      <c r="B765" t="s">
        <v>1440</v>
      </c>
      <c r="C765" t="str">
        <f>"S36.9"</f>
        <v>S36.9</v>
      </c>
      <c r="D765" t="s">
        <v>765</v>
      </c>
    </row>
    <row r="766" spans="1:4" x14ac:dyDescent="0.55000000000000004">
      <c r="A766">
        <v>0</v>
      </c>
      <c r="B766" t="s">
        <v>1440</v>
      </c>
      <c r="C766" t="str">
        <f>"S36.90"</f>
        <v>S36.90</v>
      </c>
      <c r="D766" t="s">
        <v>766</v>
      </c>
    </row>
    <row r="767" spans="1:4" x14ac:dyDescent="0.55000000000000004">
      <c r="A767">
        <v>0</v>
      </c>
      <c r="B767" t="s">
        <v>1440</v>
      </c>
      <c r="C767" t="str">
        <f>"S36.91"</f>
        <v>S36.91</v>
      </c>
      <c r="D767" t="s">
        <v>767</v>
      </c>
    </row>
    <row r="768" spans="1:4" x14ac:dyDescent="0.55000000000000004">
      <c r="A768">
        <v>0</v>
      </c>
      <c r="B768" t="s">
        <v>1440</v>
      </c>
      <c r="C768" t="str">
        <f>"S37.9"</f>
        <v>S37.9</v>
      </c>
      <c r="D768" t="s">
        <v>768</v>
      </c>
    </row>
    <row r="769" spans="1:4" x14ac:dyDescent="0.55000000000000004">
      <c r="A769">
        <v>0</v>
      </c>
      <c r="B769" t="s">
        <v>1440</v>
      </c>
      <c r="C769" t="str">
        <f>"S37.90"</f>
        <v>S37.90</v>
      </c>
      <c r="D769" t="s">
        <v>769</v>
      </c>
    </row>
    <row r="770" spans="1:4" x14ac:dyDescent="0.55000000000000004">
      <c r="A770">
        <v>0</v>
      </c>
      <c r="B770" t="s">
        <v>1440</v>
      </c>
      <c r="C770" t="str">
        <f>"S37.91"</f>
        <v>S37.91</v>
      </c>
      <c r="D770" t="s">
        <v>770</v>
      </c>
    </row>
    <row r="771" spans="1:4" x14ac:dyDescent="0.55000000000000004">
      <c r="A771">
        <v>0</v>
      </c>
      <c r="B771" t="s">
        <v>1440</v>
      </c>
      <c r="C771" t="str">
        <f>"S38.0"</f>
        <v>S38.0</v>
      </c>
      <c r="D771" t="s">
        <v>771</v>
      </c>
    </row>
    <row r="772" spans="1:4" x14ac:dyDescent="0.55000000000000004">
      <c r="A772">
        <v>0</v>
      </c>
      <c r="B772" t="s">
        <v>1440</v>
      </c>
      <c r="C772" t="str">
        <f>"S38.1"</f>
        <v>S38.1</v>
      </c>
      <c r="D772" t="s">
        <v>772</v>
      </c>
    </row>
    <row r="773" spans="1:4" x14ac:dyDescent="0.55000000000000004">
      <c r="A773">
        <v>0</v>
      </c>
      <c r="B773" t="s">
        <v>1440</v>
      </c>
      <c r="C773" t="str">
        <f>"S38.2"</f>
        <v>S38.2</v>
      </c>
      <c r="D773" t="s">
        <v>773</v>
      </c>
    </row>
    <row r="774" spans="1:4" x14ac:dyDescent="0.55000000000000004">
      <c r="A774">
        <v>0</v>
      </c>
      <c r="B774" t="s">
        <v>1440</v>
      </c>
      <c r="C774" t="str">
        <f>"S38.3"</f>
        <v>S38.3</v>
      </c>
      <c r="D774" t="s">
        <v>774</v>
      </c>
    </row>
    <row r="775" spans="1:4" x14ac:dyDescent="0.55000000000000004">
      <c r="A775">
        <v>0</v>
      </c>
      <c r="B775" t="s">
        <v>1440</v>
      </c>
      <c r="C775" t="str">
        <f>"S39.0"</f>
        <v>S39.0</v>
      </c>
      <c r="D775" t="s">
        <v>775</v>
      </c>
    </row>
    <row r="776" spans="1:4" x14ac:dyDescent="0.55000000000000004">
      <c r="A776">
        <v>0</v>
      </c>
      <c r="B776" t="s">
        <v>1440</v>
      </c>
      <c r="C776" t="str">
        <f>"S39.6"</f>
        <v>S39.6</v>
      </c>
      <c r="D776" t="s">
        <v>776</v>
      </c>
    </row>
    <row r="777" spans="1:4" x14ac:dyDescent="0.55000000000000004">
      <c r="A777">
        <v>0</v>
      </c>
      <c r="B777" t="s">
        <v>1440</v>
      </c>
      <c r="C777" t="str">
        <f>"S39.7"</f>
        <v>S39.7</v>
      </c>
      <c r="D777" t="s">
        <v>777</v>
      </c>
    </row>
    <row r="778" spans="1:4" x14ac:dyDescent="0.55000000000000004">
      <c r="A778">
        <v>0</v>
      </c>
      <c r="B778" t="s">
        <v>1440</v>
      </c>
      <c r="C778" t="str">
        <f>"S39.8"</f>
        <v>S39.8</v>
      </c>
      <c r="D778" t="s">
        <v>778</v>
      </c>
    </row>
    <row r="779" spans="1:4" x14ac:dyDescent="0.55000000000000004">
      <c r="A779">
        <v>0</v>
      </c>
      <c r="B779" t="s">
        <v>1440</v>
      </c>
      <c r="C779" t="str">
        <f>"S39.9"</f>
        <v>S39.9</v>
      </c>
      <c r="D779" t="s">
        <v>779</v>
      </c>
    </row>
    <row r="780" spans="1:4" x14ac:dyDescent="0.55000000000000004">
      <c r="A780">
        <v>0</v>
      </c>
      <c r="B780" t="s">
        <v>1440</v>
      </c>
      <c r="C780" t="str">
        <f>"S40.0"</f>
        <v>S40.0</v>
      </c>
      <c r="D780" t="s">
        <v>780</v>
      </c>
    </row>
    <row r="781" spans="1:4" x14ac:dyDescent="0.55000000000000004">
      <c r="A781">
        <v>0</v>
      </c>
      <c r="B781" t="s">
        <v>1440</v>
      </c>
      <c r="C781" t="str">
        <f>"S40.7"</f>
        <v>S40.7</v>
      </c>
      <c r="D781" t="s">
        <v>781</v>
      </c>
    </row>
    <row r="782" spans="1:4" x14ac:dyDescent="0.55000000000000004">
      <c r="A782">
        <v>0</v>
      </c>
      <c r="B782" t="s">
        <v>1440</v>
      </c>
      <c r="C782" t="str">
        <f>"S40.8"</f>
        <v>S40.8</v>
      </c>
      <c r="D782" t="s">
        <v>782</v>
      </c>
    </row>
    <row r="783" spans="1:4" x14ac:dyDescent="0.55000000000000004">
      <c r="A783">
        <v>0</v>
      </c>
      <c r="B783" t="s">
        <v>1440</v>
      </c>
      <c r="C783" t="str">
        <f>"S40.80"</f>
        <v>S40.80</v>
      </c>
      <c r="D783" t="s">
        <v>783</v>
      </c>
    </row>
    <row r="784" spans="1:4" x14ac:dyDescent="0.55000000000000004">
      <c r="A784">
        <v>0</v>
      </c>
      <c r="B784" t="s">
        <v>1440</v>
      </c>
      <c r="C784" t="str">
        <f>"S40.81"</f>
        <v>S40.81</v>
      </c>
      <c r="D784" t="s">
        <v>784</v>
      </c>
    </row>
    <row r="785" spans="1:4" x14ac:dyDescent="0.55000000000000004">
      <c r="A785">
        <v>0</v>
      </c>
      <c r="B785" t="s">
        <v>1440</v>
      </c>
      <c r="C785" t="str">
        <f>"S40.82"</f>
        <v>S40.82</v>
      </c>
      <c r="D785" t="s">
        <v>785</v>
      </c>
    </row>
    <row r="786" spans="1:4" x14ac:dyDescent="0.55000000000000004">
      <c r="A786">
        <v>0</v>
      </c>
      <c r="B786" t="s">
        <v>1440</v>
      </c>
      <c r="C786" t="str">
        <f>"S40.83"</f>
        <v>S40.83</v>
      </c>
      <c r="D786" t="s">
        <v>786</v>
      </c>
    </row>
    <row r="787" spans="1:4" x14ac:dyDescent="0.55000000000000004">
      <c r="A787">
        <v>0</v>
      </c>
      <c r="B787" t="s">
        <v>1440</v>
      </c>
      <c r="C787" t="str">
        <f>"S40.88"</f>
        <v>S40.88</v>
      </c>
      <c r="D787" t="s">
        <v>787</v>
      </c>
    </row>
    <row r="788" spans="1:4" x14ac:dyDescent="0.55000000000000004">
      <c r="A788">
        <v>0</v>
      </c>
      <c r="B788" t="s">
        <v>1440</v>
      </c>
      <c r="C788" t="str">
        <f>"S40.9"</f>
        <v>S40.9</v>
      </c>
      <c r="D788" t="s">
        <v>788</v>
      </c>
    </row>
    <row r="789" spans="1:4" x14ac:dyDescent="0.55000000000000004">
      <c r="A789">
        <v>0</v>
      </c>
      <c r="B789" t="s">
        <v>1440</v>
      </c>
      <c r="C789" t="str">
        <f>"S41.0"</f>
        <v>S41.0</v>
      </c>
      <c r="D789" t="s">
        <v>789</v>
      </c>
    </row>
    <row r="790" spans="1:4" x14ac:dyDescent="0.55000000000000004">
      <c r="A790">
        <v>0</v>
      </c>
      <c r="B790" t="s">
        <v>1440</v>
      </c>
      <c r="C790" t="str">
        <f>"S41.1"</f>
        <v>S41.1</v>
      </c>
      <c r="D790" t="s">
        <v>790</v>
      </c>
    </row>
    <row r="791" spans="1:4" x14ac:dyDescent="0.55000000000000004">
      <c r="A791">
        <v>0</v>
      </c>
      <c r="B791" t="s">
        <v>1440</v>
      </c>
      <c r="C791" t="str">
        <f>"S41.7"</f>
        <v>S41.7</v>
      </c>
      <c r="D791" t="s">
        <v>791</v>
      </c>
    </row>
    <row r="792" spans="1:4" x14ac:dyDescent="0.55000000000000004">
      <c r="A792">
        <v>0</v>
      </c>
      <c r="B792" t="s">
        <v>1440</v>
      </c>
      <c r="C792" t="str">
        <f>"S41.8"</f>
        <v>S41.8</v>
      </c>
      <c r="D792" t="s">
        <v>792</v>
      </c>
    </row>
    <row r="793" spans="1:4" x14ac:dyDescent="0.55000000000000004">
      <c r="A793">
        <v>0</v>
      </c>
      <c r="B793" t="s">
        <v>1440</v>
      </c>
      <c r="C793" t="str">
        <f>"S42.0"</f>
        <v>S42.0</v>
      </c>
      <c r="D793" t="s">
        <v>793</v>
      </c>
    </row>
    <row r="794" spans="1:4" x14ac:dyDescent="0.55000000000000004">
      <c r="A794">
        <v>0</v>
      </c>
      <c r="B794" t="s">
        <v>1440</v>
      </c>
      <c r="C794" t="str">
        <f>"S42.00"</f>
        <v>S42.00</v>
      </c>
      <c r="D794" t="s">
        <v>794</v>
      </c>
    </row>
    <row r="795" spans="1:4" x14ac:dyDescent="0.55000000000000004">
      <c r="A795">
        <v>0</v>
      </c>
      <c r="B795" t="s">
        <v>1440</v>
      </c>
      <c r="C795" t="str">
        <f>"S42.000"</f>
        <v>S42.000</v>
      </c>
      <c r="D795" t="s">
        <v>795</v>
      </c>
    </row>
    <row r="796" spans="1:4" x14ac:dyDescent="0.55000000000000004">
      <c r="A796">
        <v>0</v>
      </c>
      <c r="B796" t="s">
        <v>1440</v>
      </c>
      <c r="C796" t="str">
        <f>"S42.001"</f>
        <v>S42.001</v>
      </c>
      <c r="D796" t="s">
        <v>796</v>
      </c>
    </row>
    <row r="797" spans="1:4" x14ac:dyDescent="0.55000000000000004">
      <c r="A797">
        <v>0</v>
      </c>
      <c r="B797" t="s">
        <v>1440</v>
      </c>
      <c r="C797" t="str">
        <f>"S42.01"</f>
        <v>S42.01</v>
      </c>
      <c r="D797" t="s">
        <v>797</v>
      </c>
    </row>
    <row r="798" spans="1:4" x14ac:dyDescent="0.55000000000000004">
      <c r="A798">
        <v>0</v>
      </c>
      <c r="B798" t="s">
        <v>1440</v>
      </c>
      <c r="C798" t="str">
        <f>"S42.010"</f>
        <v>S42.010</v>
      </c>
      <c r="D798" t="s">
        <v>798</v>
      </c>
    </row>
    <row r="799" spans="1:4" x14ac:dyDescent="0.55000000000000004">
      <c r="A799">
        <v>0</v>
      </c>
      <c r="B799" t="s">
        <v>1440</v>
      </c>
      <c r="C799" t="str">
        <f>"S42.011"</f>
        <v>S42.011</v>
      </c>
      <c r="D799" t="s">
        <v>799</v>
      </c>
    </row>
    <row r="800" spans="1:4" x14ac:dyDescent="0.55000000000000004">
      <c r="A800">
        <v>0</v>
      </c>
      <c r="B800" t="s">
        <v>1440</v>
      </c>
      <c r="C800" t="str">
        <f>"S42.020"</f>
        <v>S42.020</v>
      </c>
      <c r="D800" t="s">
        <v>800</v>
      </c>
    </row>
    <row r="801" spans="1:4" x14ac:dyDescent="0.55000000000000004">
      <c r="A801">
        <v>0</v>
      </c>
      <c r="B801" t="s">
        <v>1440</v>
      </c>
      <c r="C801" t="str">
        <f>"S42.021"</f>
        <v>S42.021</v>
      </c>
      <c r="D801" t="s">
        <v>801</v>
      </c>
    </row>
    <row r="802" spans="1:4" x14ac:dyDescent="0.55000000000000004">
      <c r="A802">
        <v>0</v>
      </c>
      <c r="B802" t="s">
        <v>1440</v>
      </c>
      <c r="C802" t="str">
        <f>"S42.070"</f>
        <v>S42.070</v>
      </c>
      <c r="D802" t="s">
        <v>802</v>
      </c>
    </row>
    <row r="803" spans="1:4" x14ac:dyDescent="0.55000000000000004">
      <c r="A803">
        <v>0</v>
      </c>
      <c r="B803" t="s">
        <v>1440</v>
      </c>
      <c r="C803" t="str">
        <f>"S42.071"</f>
        <v>S42.071</v>
      </c>
      <c r="D803" t="s">
        <v>803</v>
      </c>
    </row>
    <row r="804" spans="1:4" x14ac:dyDescent="0.55000000000000004">
      <c r="A804">
        <v>0</v>
      </c>
      <c r="B804" t="s">
        <v>1440</v>
      </c>
      <c r="C804" t="str">
        <f>"S42.090"</f>
        <v>S42.090</v>
      </c>
      <c r="D804" t="s">
        <v>804</v>
      </c>
    </row>
    <row r="805" spans="1:4" x14ac:dyDescent="0.55000000000000004">
      <c r="A805">
        <v>0</v>
      </c>
      <c r="B805" t="s">
        <v>1440</v>
      </c>
      <c r="C805" t="str">
        <f>"S42.091"</f>
        <v>S42.091</v>
      </c>
      <c r="D805" t="s">
        <v>805</v>
      </c>
    </row>
    <row r="806" spans="1:4" x14ac:dyDescent="0.55000000000000004">
      <c r="A806">
        <v>0</v>
      </c>
      <c r="B806" t="s">
        <v>1440</v>
      </c>
      <c r="C806" t="str">
        <f>"S42.1"</f>
        <v>S42.1</v>
      </c>
      <c r="D806" t="s">
        <v>806</v>
      </c>
    </row>
    <row r="807" spans="1:4" x14ac:dyDescent="0.55000000000000004">
      <c r="A807">
        <v>0</v>
      </c>
      <c r="B807" t="s">
        <v>1440</v>
      </c>
      <c r="C807" t="str">
        <f>"S42.10"</f>
        <v>S42.10</v>
      </c>
      <c r="D807" t="s">
        <v>807</v>
      </c>
    </row>
    <row r="808" spans="1:4" x14ac:dyDescent="0.55000000000000004">
      <c r="A808">
        <v>0</v>
      </c>
      <c r="B808" t="s">
        <v>1440</v>
      </c>
      <c r="C808" t="str">
        <f>"S42.100"</f>
        <v>S42.100</v>
      </c>
      <c r="D808" t="s">
        <v>808</v>
      </c>
    </row>
    <row r="809" spans="1:4" x14ac:dyDescent="0.55000000000000004">
      <c r="A809">
        <v>0</v>
      </c>
      <c r="B809" t="s">
        <v>1440</v>
      </c>
      <c r="C809" t="str">
        <f>"S42.101"</f>
        <v>S42.101</v>
      </c>
      <c r="D809" t="s">
        <v>809</v>
      </c>
    </row>
    <row r="810" spans="1:4" x14ac:dyDescent="0.55000000000000004">
      <c r="A810">
        <v>0</v>
      </c>
      <c r="B810" t="s">
        <v>1440</v>
      </c>
      <c r="C810" t="str">
        <f>"S42.11"</f>
        <v>S42.11</v>
      </c>
      <c r="D810" t="s">
        <v>810</v>
      </c>
    </row>
    <row r="811" spans="1:4" x14ac:dyDescent="0.55000000000000004">
      <c r="A811">
        <v>0</v>
      </c>
      <c r="B811" t="s">
        <v>1440</v>
      </c>
      <c r="C811" t="str">
        <f>"S42.110"</f>
        <v>S42.110</v>
      </c>
      <c r="D811" t="s">
        <v>811</v>
      </c>
    </row>
    <row r="812" spans="1:4" x14ac:dyDescent="0.55000000000000004">
      <c r="A812">
        <v>0</v>
      </c>
      <c r="B812" t="s">
        <v>1440</v>
      </c>
      <c r="C812" t="str">
        <f>"S42.111"</f>
        <v>S42.111</v>
      </c>
      <c r="D812" t="s">
        <v>812</v>
      </c>
    </row>
    <row r="813" spans="1:4" x14ac:dyDescent="0.55000000000000004">
      <c r="A813">
        <v>0</v>
      </c>
      <c r="B813" t="s">
        <v>1440</v>
      </c>
      <c r="C813" t="str">
        <f>"S42.120"</f>
        <v>S42.120</v>
      </c>
      <c r="D813" t="s">
        <v>813</v>
      </c>
    </row>
    <row r="814" spans="1:4" x14ac:dyDescent="0.55000000000000004">
      <c r="A814">
        <v>0</v>
      </c>
      <c r="B814" t="s">
        <v>1440</v>
      </c>
      <c r="C814" t="str">
        <f>"S42.121"</f>
        <v>S42.121</v>
      </c>
      <c r="D814" t="s">
        <v>814</v>
      </c>
    </row>
    <row r="815" spans="1:4" x14ac:dyDescent="0.55000000000000004">
      <c r="A815">
        <v>0</v>
      </c>
      <c r="B815" t="s">
        <v>1440</v>
      </c>
      <c r="C815" t="str">
        <f>"S42.130"</f>
        <v>S42.130</v>
      </c>
      <c r="D815" t="s">
        <v>815</v>
      </c>
    </row>
    <row r="816" spans="1:4" x14ac:dyDescent="0.55000000000000004">
      <c r="A816">
        <v>0</v>
      </c>
      <c r="B816" t="s">
        <v>1440</v>
      </c>
      <c r="C816" t="str">
        <f>"S42.131"</f>
        <v>S42.131</v>
      </c>
      <c r="D816" t="s">
        <v>816</v>
      </c>
    </row>
    <row r="817" spans="1:4" x14ac:dyDescent="0.55000000000000004">
      <c r="A817">
        <v>0</v>
      </c>
      <c r="B817" t="s">
        <v>1440</v>
      </c>
      <c r="C817" t="str">
        <f>"S42.170"</f>
        <v>S42.170</v>
      </c>
      <c r="D817" t="s">
        <v>817</v>
      </c>
    </row>
    <row r="818" spans="1:4" x14ac:dyDescent="0.55000000000000004">
      <c r="A818">
        <v>0</v>
      </c>
      <c r="B818" t="s">
        <v>1440</v>
      </c>
      <c r="C818" t="str">
        <f>"S42.171"</f>
        <v>S42.171</v>
      </c>
      <c r="D818" t="s">
        <v>818</v>
      </c>
    </row>
    <row r="819" spans="1:4" x14ac:dyDescent="0.55000000000000004">
      <c r="A819">
        <v>0</v>
      </c>
      <c r="B819" t="s">
        <v>1440</v>
      </c>
      <c r="C819" t="str">
        <f>"S42.190"</f>
        <v>S42.190</v>
      </c>
      <c r="D819" t="s">
        <v>819</v>
      </c>
    </row>
    <row r="820" spans="1:4" x14ac:dyDescent="0.55000000000000004">
      <c r="A820">
        <v>0</v>
      </c>
      <c r="B820" t="s">
        <v>1440</v>
      </c>
      <c r="C820" t="str">
        <f>"S42.191"</f>
        <v>S42.191</v>
      </c>
      <c r="D820" t="s">
        <v>820</v>
      </c>
    </row>
    <row r="821" spans="1:4" x14ac:dyDescent="0.55000000000000004">
      <c r="A821">
        <v>0</v>
      </c>
      <c r="B821" t="s">
        <v>1440</v>
      </c>
      <c r="C821" t="str">
        <f>"S42.2"</f>
        <v>S42.2</v>
      </c>
      <c r="D821" t="s">
        <v>821</v>
      </c>
    </row>
    <row r="822" spans="1:4" x14ac:dyDescent="0.55000000000000004">
      <c r="A822">
        <v>0</v>
      </c>
      <c r="B822" t="s">
        <v>1440</v>
      </c>
      <c r="C822" t="str">
        <f>"S42.20"</f>
        <v>S42.20</v>
      </c>
      <c r="D822" t="s">
        <v>822</v>
      </c>
    </row>
    <row r="823" spans="1:4" x14ac:dyDescent="0.55000000000000004">
      <c r="A823">
        <v>0</v>
      </c>
      <c r="B823" t="s">
        <v>1440</v>
      </c>
      <c r="C823" t="str">
        <f>"S42.200"</f>
        <v>S42.200</v>
      </c>
      <c r="D823" t="s">
        <v>823</v>
      </c>
    </row>
    <row r="824" spans="1:4" x14ac:dyDescent="0.55000000000000004">
      <c r="A824">
        <v>0</v>
      </c>
      <c r="B824" t="s">
        <v>1440</v>
      </c>
      <c r="C824" t="str">
        <f>"S42.210"</f>
        <v>S42.210</v>
      </c>
      <c r="D824" t="s">
        <v>824</v>
      </c>
    </row>
    <row r="825" spans="1:4" x14ac:dyDescent="0.55000000000000004">
      <c r="A825">
        <v>0</v>
      </c>
      <c r="B825" t="s">
        <v>1440</v>
      </c>
      <c r="C825" t="str">
        <f>"S42.220"</f>
        <v>S42.220</v>
      </c>
      <c r="D825" t="s">
        <v>825</v>
      </c>
    </row>
    <row r="826" spans="1:4" x14ac:dyDescent="0.55000000000000004">
      <c r="A826">
        <v>0</v>
      </c>
      <c r="B826" t="s">
        <v>1440</v>
      </c>
      <c r="C826" t="str">
        <f>"S42.230"</f>
        <v>S42.230</v>
      </c>
      <c r="D826" t="s">
        <v>826</v>
      </c>
    </row>
    <row r="827" spans="1:4" x14ac:dyDescent="0.55000000000000004">
      <c r="A827">
        <v>0</v>
      </c>
      <c r="B827" t="s">
        <v>1440</v>
      </c>
      <c r="C827" t="str">
        <f>"S42.240"</f>
        <v>S42.240</v>
      </c>
      <c r="D827" t="s">
        <v>827</v>
      </c>
    </row>
    <row r="828" spans="1:4" x14ac:dyDescent="0.55000000000000004">
      <c r="A828">
        <v>0</v>
      </c>
      <c r="B828" t="s">
        <v>1440</v>
      </c>
      <c r="C828" t="str">
        <f>"S42.250"</f>
        <v>S42.250</v>
      </c>
      <c r="D828" t="s">
        <v>828</v>
      </c>
    </row>
    <row r="829" spans="1:4" x14ac:dyDescent="0.55000000000000004">
      <c r="A829">
        <v>0</v>
      </c>
      <c r="B829" t="s">
        <v>1440</v>
      </c>
      <c r="C829" t="str">
        <f>"S42.280"</f>
        <v>S42.280</v>
      </c>
      <c r="D829" t="s">
        <v>829</v>
      </c>
    </row>
    <row r="830" spans="1:4" x14ac:dyDescent="0.55000000000000004">
      <c r="A830">
        <v>0</v>
      </c>
      <c r="B830" t="s">
        <v>1440</v>
      </c>
      <c r="C830" t="str">
        <f>"S42.290"</f>
        <v>S42.290</v>
      </c>
      <c r="D830" t="s">
        <v>830</v>
      </c>
    </row>
    <row r="831" spans="1:4" x14ac:dyDescent="0.55000000000000004">
      <c r="A831">
        <v>0</v>
      </c>
      <c r="B831" t="s">
        <v>1440</v>
      </c>
      <c r="C831" t="str">
        <f>"S42.3"</f>
        <v>S42.3</v>
      </c>
      <c r="D831" t="s">
        <v>831</v>
      </c>
    </row>
    <row r="832" spans="1:4" x14ac:dyDescent="0.55000000000000004">
      <c r="A832">
        <v>0</v>
      </c>
      <c r="B832" t="s">
        <v>1440</v>
      </c>
      <c r="C832" t="str">
        <f>"S42.30"</f>
        <v>S42.30</v>
      </c>
      <c r="D832" t="s">
        <v>832</v>
      </c>
    </row>
    <row r="833" spans="1:4" x14ac:dyDescent="0.55000000000000004">
      <c r="A833">
        <v>0</v>
      </c>
      <c r="B833" t="s">
        <v>1440</v>
      </c>
      <c r="C833" t="str">
        <f>"S42.300"</f>
        <v>S42.300</v>
      </c>
      <c r="D833" t="s">
        <v>833</v>
      </c>
    </row>
    <row r="834" spans="1:4" x14ac:dyDescent="0.55000000000000004">
      <c r="A834">
        <v>0</v>
      </c>
      <c r="B834" t="s">
        <v>1440</v>
      </c>
      <c r="C834" t="str">
        <f>"S42.310"</f>
        <v>S42.310</v>
      </c>
      <c r="D834" t="s">
        <v>834</v>
      </c>
    </row>
    <row r="835" spans="1:4" x14ac:dyDescent="0.55000000000000004">
      <c r="A835">
        <v>0</v>
      </c>
      <c r="B835" t="s">
        <v>1440</v>
      </c>
      <c r="C835" t="str">
        <f>"S42.320"</f>
        <v>S42.320</v>
      </c>
      <c r="D835" t="s">
        <v>835</v>
      </c>
    </row>
    <row r="836" spans="1:4" x14ac:dyDescent="0.55000000000000004">
      <c r="A836">
        <v>0</v>
      </c>
      <c r="B836" t="s">
        <v>1440</v>
      </c>
      <c r="C836" t="str">
        <f>"S42.370"</f>
        <v>S42.370</v>
      </c>
      <c r="D836" t="s">
        <v>836</v>
      </c>
    </row>
    <row r="837" spans="1:4" x14ac:dyDescent="0.55000000000000004">
      <c r="A837">
        <v>0</v>
      </c>
      <c r="B837" t="s">
        <v>1440</v>
      </c>
      <c r="C837" t="str">
        <f>"S42.390"</f>
        <v>S42.390</v>
      </c>
      <c r="D837" t="s">
        <v>837</v>
      </c>
    </row>
    <row r="838" spans="1:4" x14ac:dyDescent="0.55000000000000004">
      <c r="A838">
        <v>0</v>
      </c>
      <c r="B838" t="s">
        <v>1440</v>
      </c>
      <c r="C838" t="str">
        <f>"S42.4"</f>
        <v>S42.4</v>
      </c>
      <c r="D838" t="s">
        <v>838</v>
      </c>
    </row>
    <row r="839" spans="1:4" x14ac:dyDescent="0.55000000000000004">
      <c r="A839">
        <v>0</v>
      </c>
      <c r="B839" t="s">
        <v>1440</v>
      </c>
      <c r="C839" t="str">
        <f>"S42.40"</f>
        <v>S42.40</v>
      </c>
      <c r="D839" t="s">
        <v>839</v>
      </c>
    </row>
    <row r="840" spans="1:4" x14ac:dyDescent="0.55000000000000004">
      <c r="A840">
        <v>0</v>
      </c>
      <c r="B840" t="s">
        <v>1440</v>
      </c>
      <c r="C840" t="str">
        <f>"S42.400"</f>
        <v>S42.400</v>
      </c>
      <c r="D840" t="s">
        <v>840</v>
      </c>
    </row>
    <row r="841" spans="1:4" x14ac:dyDescent="0.55000000000000004">
      <c r="A841">
        <v>0</v>
      </c>
      <c r="B841" t="s">
        <v>1440</v>
      </c>
      <c r="C841" t="str">
        <f>"S42.410"</f>
        <v>S42.410</v>
      </c>
      <c r="D841" t="s">
        <v>841</v>
      </c>
    </row>
    <row r="842" spans="1:4" x14ac:dyDescent="0.55000000000000004">
      <c r="A842">
        <v>0</v>
      </c>
      <c r="B842" t="s">
        <v>1440</v>
      </c>
      <c r="C842" t="str">
        <f>"S42.420"</f>
        <v>S42.420</v>
      </c>
      <c r="D842" t="s">
        <v>842</v>
      </c>
    </row>
    <row r="843" spans="1:4" x14ac:dyDescent="0.55000000000000004">
      <c r="A843">
        <v>0</v>
      </c>
      <c r="B843" t="s">
        <v>1440</v>
      </c>
      <c r="C843" t="str">
        <f>"S42.430"</f>
        <v>S42.430</v>
      </c>
      <c r="D843" t="s">
        <v>843</v>
      </c>
    </row>
    <row r="844" spans="1:4" x14ac:dyDescent="0.55000000000000004">
      <c r="A844">
        <v>0</v>
      </c>
      <c r="B844" t="s">
        <v>1440</v>
      </c>
      <c r="C844" t="str">
        <f>"S42.440"</f>
        <v>S42.440</v>
      </c>
      <c r="D844" t="s">
        <v>844</v>
      </c>
    </row>
    <row r="845" spans="1:4" x14ac:dyDescent="0.55000000000000004">
      <c r="A845">
        <v>0</v>
      </c>
      <c r="B845" t="s">
        <v>1440</v>
      </c>
      <c r="C845" t="str">
        <f>"S42.450"</f>
        <v>S42.450</v>
      </c>
      <c r="D845" t="s">
        <v>845</v>
      </c>
    </row>
    <row r="846" spans="1:4" x14ac:dyDescent="0.55000000000000004">
      <c r="A846">
        <v>0</v>
      </c>
      <c r="B846" t="s">
        <v>1440</v>
      </c>
      <c r="C846" t="str">
        <f>"S42.460"</f>
        <v>S42.460</v>
      </c>
      <c r="D846" t="s">
        <v>846</v>
      </c>
    </row>
    <row r="847" spans="1:4" x14ac:dyDescent="0.55000000000000004">
      <c r="A847">
        <v>0</v>
      </c>
      <c r="B847" t="s">
        <v>1440</v>
      </c>
      <c r="C847" t="str">
        <f>"S42.470"</f>
        <v>S42.470</v>
      </c>
      <c r="D847" t="s">
        <v>847</v>
      </c>
    </row>
    <row r="848" spans="1:4" x14ac:dyDescent="0.55000000000000004">
      <c r="A848">
        <v>0</v>
      </c>
      <c r="B848" t="s">
        <v>1440</v>
      </c>
      <c r="C848" t="str">
        <f>"S42.480"</f>
        <v>S42.480</v>
      </c>
      <c r="D848" t="s">
        <v>848</v>
      </c>
    </row>
    <row r="849" spans="1:4" x14ac:dyDescent="0.55000000000000004">
      <c r="A849">
        <v>0</v>
      </c>
      <c r="B849" t="s">
        <v>1440</v>
      </c>
      <c r="C849" t="str">
        <f>"S42.490"</f>
        <v>S42.490</v>
      </c>
      <c r="D849" t="s">
        <v>849</v>
      </c>
    </row>
    <row r="850" spans="1:4" x14ac:dyDescent="0.55000000000000004">
      <c r="A850">
        <v>0</v>
      </c>
      <c r="B850" t="s">
        <v>1440</v>
      </c>
      <c r="C850" t="str">
        <f>"S42.7"</f>
        <v>S42.7</v>
      </c>
      <c r="D850" t="s">
        <v>850</v>
      </c>
    </row>
    <row r="851" spans="1:4" x14ac:dyDescent="0.55000000000000004">
      <c r="A851">
        <v>0</v>
      </c>
      <c r="B851" t="s">
        <v>1440</v>
      </c>
      <c r="C851" t="str">
        <f>"S42.70"</f>
        <v>S42.70</v>
      </c>
      <c r="D851" t="s">
        <v>851</v>
      </c>
    </row>
    <row r="852" spans="1:4" x14ac:dyDescent="0.55000000000000004">
      <c r="A852">
        <v>0</v>
      </c>
      <c r="B852" t="s">
        <v>1440</v>
      </c>
      <c r="C852" t="str">
        <f>"S42.8"</f>
        <v>S42.8</v>
      </c>
      <c r="D852" t="s">
        <v>852</v>
      </c>
    </row>
    <row r="853" spans="1:4" x14ac:dyDescent="0.55000000000000004">
      <c r="A853">
        <v>0</v>
      </c>
      <c r="B853" t="s">
        <v>1440</v>
      </c>
      <c r="C853" t="str">
        <f>"S42.80"</f>
        <v>S42.80</v>
      </c>
      <c r="D853" t="s">
        <v>853</v>
      </c>
    </row>
    <row r="854" spans="1:4" x14ac:dyDescent="0.55000000000000004">
      <c r="A854">
        <v>0</v>
      </c>
      <c r="B854" t="s">
        <v>1440</v>
      </c>
      <c r="C854" t="str">
        <f>"S42.9"</f>
        <v>S42.9</v>
      </c>
      <c r="D854" t="s">
        <v>854</v>
      </c>
    </row>
    <row r="855" spans="1:4" x14ac:dyDescent="0.55000000000000004">
      <c r="A855">
        <v>0</v>
      </c>
      <c r="B855" t="s">
        <v>1440</v>
      </c>
      <c r="C855" t="str">
        <f>"S42.90"</f>
        <v>S42.90</v>
      </c>
      <c r="D855" t="s">
        <v>855</v>
      </c>
    </row>
    <row r="856" spans="1:4" x14ac:dyDescent="0.55000000000000004">
      <c r="A856">
        <v>0</v>
      </c>
      <c r="B856" t="s">
        <v>1440</v>
      </c>
      <c r="C856" t="str">
        <f>"S43.0"</f>
        <v>S43.0</v>
      </c>
      <c r="D856" t="s">
        <v>856</v>
      </c>
    </row>
    <row r="857" spans="1:4" x14ac:dyDescent="0.55000000000000004">
      <c r="A857">
        <v>0</v>
      </c>
      <c r="B857" t="s">
        <v>1440</v>
      </c>
      <c r="C857" t="str">
        <f>"S43.00"</f>
        <v>S43.00</v>
      </c>
      <c r="D857" t="s">
        <v>857</v>
      </c>
    </row>
    <row r="858" spans="1:4" x14ac:dyDescent="0.55000000000000004">
      <c r="A858">
        <v>0</v>
      </c>
      <c r="B858" t="s">
        <v>1440</v>
      </c>
      <c r="C858" t="str">
        <f>"S43.01"</f>
        <v>S43.01</v>
      </c>
      <c r="D858" t="s">
        <v>858</v>
      </c>
    </row>
    <row r="859" spans="1:4" x14ac:dyDescent="0.55000000000000004">
      <c r="A859">
        <v>0</v>
      </c>
      <c r="B859" t="s">
        <v>1440</v>
      </c>
      <c r="C859" t="str">
        <f>"S43.02"</f>
        <v>S43.02</v>
      </c>
      <c r="D859" t="s">
        <v>859</v>
      </c>
    </row>
    <row r="860" spans="1:4" x14ac:dyDescent="0.55000000000000004">
      <c r="A860">
        <v>0</v>
      </c>
      <c r="B860" t="s">
        <v>1440</v>
      </c>
      <c r="C860" t="str">
        <f>"S43.08"</f>
        <v>S43.08</v>
      </c>
      <c r="D860" t="s">
        <v>860</v>
      </c>
    </row>
    <row r="861" spans="1:4" x14ac:dyDescent="0.55000000000000004">
      <c r="A861">
        <v>0</v>
      </c>
      <c r="B861" t="s">
        <v>1440</v>
      </c>
      <c r="C861" t="str">
        <f>"S43.09"</f>
        <v>S43.09</v>
      </c>
      <c r="D861" t="s">
        <v>861</v>
      </c>
    </row>
    <row r="862" spans="1:4" x14ac:dyDescent="0.55000000000000004">
      <c r="A862">
        <v>0</v>
      </c>
      <c r="B862" t="s">
        <v>1440</v>
      </c>
      <c r="C862" t="str">
        <f>"S43.1"</f>
        <v>S43.1</v>
      </c>
      <c r="D862" t="s">
        <v>862</v>
      </c>
    </row>
    <row r="863" spans="1:4" x14ac:dyDescent="0.55000000000000004">
      <c r="A863">
        <v>0</v>
      </c>
      <c r="B863" t="s">
        <v>1440</v>
      </c>
      <c r="C863" t="str">
        <f>"S43.2"</f>
        <v>S43.2</v>
      </c>
      <c r="D863" t="s">
        <v>863</v>
      </c>
    </row>
    <row r="864" spans="1:4" x14ac:dyDescent="0.55000000000000004">
      <c r="A864">
        <v>0</v>
      </c>
      <c r="B864" t="s">
        <v>1440</v>
      </c>
      <c r="C864" t="str">
        <f>"S43.3"</f>
        <v>S43.3</v>
      </c>
      <c r="D864" t="s">
        <v>864</v>
      </c>
    </row>
    <row r="865" spans="1:4" x14ac:dyDescent="0.55000000000000004">
      <c r="A865">
        <v>0</v>
      </c>
      <c r="B865" t="s">
        <v>1440</v>
      </c>
      <c r="C865" t="str">
        <f>"S43.4"</f>
        <v>S43.4</v>
      </c>
      <c r="D865" t="s">
        <v>865</v>
      </c>
    </row>
    <row r="866" spans="1:4" x14ac:dyDescent="0.55000000000000004">
      <c r="A866">
        <v>0</v>
      </c>
      <c r="B866" t="s">
        <v>1440</v>
      </c>
      <c r="C866" t="str">
        <f>"S43.5"</f>
        <v>S43.5</v>
      </c>
      <c r="D866" t="s">
        <v>866</v>
      </c>
    </row>
    <row r="867" spans="1:4" x14ac:dyDescent="0.55000000000000004">
      <c r="A867">
        <v>0</v>
      </c>
      <c r="B867" t="s">
        <v>1440</v>
      </c>
      <c r="C867" t="str">
        <f>"S43.6"</f>
        <v>S43.6</v>
      </c>
      <c r="D867" t="s">
        <v>867</v>
      </c>
    </row>
    <row r="868" spans="1:4" x14ac:dyDescent="0.55000000000000004">
      <c r="A868">
        <v>0</v>
      </c>
      <c r="B868" t="s">
        <v>1440</v>
      </c>
      <c r="C868" t="str">
        <f>"S43.7"</f>
        <v>S43.7</v>
      </c>
      <c r="D868" t="s">
        <v>868</v>
      </c>
    </row>
    <row r="869" spans="1:4" x14ac:dyDescent="0.55000000000000004">
      <c r="A869">
        <v>0</v>
      </c>
      <c r="B869" t="s">
        <v>1440</v>
      </c>
      <c r="C869" t="str">
        <f>"S44.4"</f>
        <v>S44.4</v>
      </c>
      <c r="D869" t="s">
        <v>869</v>
      </c>
    </row>
    <row r="870" spans="1:4" x14ac:dyDescent="0.55000000000000004">
      <c r="A870">
        <v>0</v>
      </c>
      <c r="B870" t="s">
        <v>1440</v>
      </c>
      <c r="C870" t="str">
        <f>"S44.5"</f>
        <v>S44.5</v>
      </c>
      <c r="D870" t="s">
        <v>870</v>
      </c>
    </row>
    <row r="871" spans="1:4" x14ac:dyDescent="0.55000000000000004">
      <c r="A871">
        <v>0</v>
      </c>
      <c r="B871" t="s">
        <v>1440</v>
      </c>
      <c r="C871" t="str">
        <f>"S44.7"</f>
        <v>S44.7</v>
      </c>
      <c r="D871" t="s">
        <v>871</v>
      </c>
    </row>
    <row r="872" spans="1:4" x14ac:dyDescent="0.55000000000000004">
      <c r="A872">
        <v>0</v>
      </c>
      <c r="B872" t="s">
        <v>1440</v>
      </c>
      <c r="C872" t="str">
        <f>"S44.8"</f>
        <v>S44.8</v>
      </c>
      <c r="D872" t="s">
        <v>872</v>
      </c>
    </row>
    <row r="873" spans="1:4" x14ac:dyDescent="0.55000000000000004">
      <c r="A873">
        <v>0</v>
      </c>
      <c r="B873" t="s">
        <v>1440</v>
      </c>
      <c r="C873" t="str">
        <f>"S44.9"</f>
        <v>S44.9</v>
      </c>
      <c r="D873" t="s">
        <v>873</v>
      </c>
    </row>
    <row r="874" spans="1:4" x14ac:dyDescent="0.55000000000000004">
      <c r="A874">
        <v>0</v>
      </c>
      <c r="B874" t="s">
        <v>1440</v>
      </c>
      <c r="C874" t="str">
        <f>"S45.3"</f>
        <v>S45.3</v>
      </c>
      <c r="D874" t="s">
        <v>874</v>
      </c>
    </row>
    <row r="875" spans="1:4" x14ac:dyDescent="0.55000000000000004">
      <c r="A875">
        <v>0</v>
      </c>
      <c r="B875" t="s">
        <v>1440</v>
      </c>
      <c r="C875" t="str">
        <f>"S45.7"</f>
        <v>S45.7</v>
      </c>
      <c r="D875" t="s">
        <v>875</v>
      </c>
    </row>
    <row r="876" spans="1:4" x14ac:dyDescent="0.55000000000000004">
      <c r="A876">
        <v>0</v>
      </c>
      <c r="B876" t="s">
        <v>1440</v>
      </c>
      <c r="C876" t="str">
        <f>"S45.8"</f>
        <v>S45.8</v>
      </c>
      <c r="D876" t="s">
        <v>876</v>
      </c>
    </row>
    <row r="877" spans="1:4" x14ac:dyDescent="0.55000000000000004">
      <c r="A877">
        <v>0</v>
      </c>
      <c r="B877" t="s">
        <v>1440</v>
      </c>
      <c r="C877" t="str">
        <f>"S45.9"</f>
        <v>S45.9</v>
      </c>
      <c r="D877" t="s">
        <v>877</v>
      </c>
    </row>
    <row r="878" spans="1:4" x14ac:dyDescent="0.55000000000000004">
      <c r="A878">
        <v>0</v>
      </c>
      <c r="B878" t="s">
        <v>1440</v>
      </c>
      <c r="C878" t="str">
        <f>"S46.0"</f>
        <v>S46.0</v>
      </c>
      <c r="D878" t="s">
        <v>878</v>
      </c>
    </row>
    <row r="879" spans="1:4" x14ac:dyDescent="0.55000000000000004">
      <c r="A879">
        <v>0</v>
      </c>
      <c r="B879" t="s">
        <v>1440</v>
      </c>
      <c r="C879" t="str">
        <f>"S46.1"</f>
        <v>S46.1</v>
      </c>
      <c r="D879" t="s">
        <v>879</v>
      </c>
    </row>
    <row r="880" spans="1:4" x14ac:dyDescent="0.55000000000000004">
      <c r="A880">
        <v>0</v>
      </c>
      <c r="B880" t="s">
        <v>1440</v>
      </c>
      <c r="C880" t="str">
        <f>"S46.2"</f>
        <v>S46.2</v>
      </c>
      <c r="D880" t="s">
        <v>880</v>
      </c>
    </row>
    <row r="881" spans="1:4" x14ac:dyDescent="0.55000000000000004">
      <c r="A881">
        <v>0</v>
      </c>
      <c r="B881" t="s">
        <v>1440</v>
      </c>
      <c r="C881" t="str">
        <f>"S46.3"</f>
        <v>S46.3</v>
      </c>
      <c r="D881" t="s">
        <v>881</v>
      </c>
    </row>
    <row r="882" spans="1:4" x14ac:dyDescent="0.55000000000000004">
      <c r="A882">
        <v>0</v>
      </c>
      <c r="B882" t="s">
        <v>1440</v>
      </c>
      <c r="C882" t="str">
        <f>"S46.7"</f>
        <v>S46.7</v>
      </c>
      <c r="D882" t="s">
        <v>882</v>
      </c>
    </row>
    <row r="883" spans="1:4" x14ac:dyDescent="0.55000000000000004">
      <c r="A883">
        <v>0</v>
      </c>
      <c r="B883" t="s">
        <v>1440</v>
      </c>
      <c r="C883" t="str">
        <f>"S46.8"</f>
        <v>S46.8</v>
      </c>
      <c r="D883" t="s">
        <v>883</v>
      </c>
    </row>
    <row r="884" spans="1:4" x14ac:dyDescent="0.55000000000000004">
      <c r="A884">
        <v>0</v>
      </c>
      <c r="B884" t="s">
        <v>1440</v>
      </c>
      <c r="C884" t="str">
        <f>"S46.9"</f>
        <v>S46.9</v>
      </c>
      <c r="D884" t="s">
        <v>884</v>
      </c>
    </row>
    <row r="885" spans="1:4" x14ac:dyDescent="0.55000000000000004">
      <c r="A885">
        <v>0</v>
      </c>
      <c r="B885" t="s">
        <v>1440</v>
      </c>
      <c r="C885" t="str">
        <f>"S47"</f>
        <v>S47</v>
      </c>
      <c r="D885" t="s">
        <v>885</v>
      </c>
    </row>
    <row r="886" spans="1:4" x14ac:dyDescent="0.55000000000000004">
      <c r="A886">
        <v>0</v>
      </c>
      <c r="B886" t="s">
        <v>1440</v>
      </c>
      <c r="C886" t="str">
        <f>"S49.7"</f>
        <v>S49.7</v>
      </c>
      <c r="D886" t="s">
        <v>886</v>
      </c>
    </row>
    <row r="887" spans="1:4" x14ac:dyDescent="0.55000000000000004">
      <c r="A887">
        <v>0</v>
      </c>
      <c r="B887" t="s">
        <v>1440</v>
      </c>
      <c r="C887" t="str">
        <f>"S49.8"</f>
        <v>S49.8</v>
      </c>
      <c r="D887" t="s">
        <v>887</v>
      </c>
    </row>
    <row r="888" spans="1:4" x14ac:dyDescent="0.55000000000000004">
      <c r="A888">
        <v>0</v>
      </c>
      <c r="B888" t="s">
        <v>1440</v>
      </c>
      <c r="C888" t="str">
        <f>"S49.9"</f>
        <v>S49.9</v>
      </c>
      <c r="D888" t="s">
        <v>888</v>
      </c>
    </row>
    <row r="889" spans="1:4" x14ac:dyDescent="0.55000000000000004">
      <c r="A889">
        <v>0</v>
      </c>
      <c r="B889" t="s">
        <v>1440</v>
      </c>
      <c r="C889" t="str">
        <f>"S50.0"</f>
        <v>S50.0</v>
      </c>
      <c r="D889" t="s">
        <v>889</v>
      </c>
    </row>
    <row r="890" spans="1:4" x14ac:dyDescent="0.55000000000000004">
      <c r="A890">
        <v>0</v>
      </c>
      <c r="B890" t="s">
        <v>1440</v>
      </c>
      <c r="C890" t="str">
        <f>"S50.1"</f>
        <v>S50.1</v>
      </c>
      <c r="D890" t="s">
        <v>890</v>
      </c>
    </row>
    <row r="891" spans="1:4" x14ac:dyDescent="0.55000000000000004">
      <c r="A891">
        <v>0</v>
      </c>
      <c r="B891" t="s">
        <v>1440</v>
      </c>
      <c r="C891" t="str">
        <f>"S50.7"</f>
        <v>S50.7</v>
      </c>
      <c r="D891" t="s">
        <v>891</v>
      </c>
    </row>
    <row r="892" spans="1:4" x14ac:dyDescent="0.55000000000000004">
      <c r="A892">
        <v>0</v>
      </c>
      <c r="B892" t="s">
        <v>1440</v>
      </c>
      <c r="C892" t="str">
        <f>"S50.8"</f>
        <v>S50.8</v>
      </c>
      <c r="D892" t="s">
        <v>892</v>
      </c>
    </row>
    <row r="893" spans="1:4" x14ac:dyDescent="0.55000000000000004">
      <c r="A893">
        <v>0</v>
      </c>
      <c r="B893" t="s">
        <v>1440</v>
      </c>
      <c r="C893" t="str">
        <f>"S50.80"</f>
        <v>S50.80</v>
      </c>
      <c r="D893" t="s">
        <v>893</v>
      </c>
    </row>
    <row r="894" spans="1:4" x14ac:dyDescent="0.55000000000000004">
      <c r="A894">
        <v>0</v>
      </c>
      <c r="B894" t="s">
        <v>1440</v>
      </c>
      <c r="C894" t="str">
        <f>"S50.81"</f>
        <v>S50.81</v>
      </c>
      <c r="D894" t="s">
        <v>894</v>
      </c>
    </row>
    <row r="895" spans="1:4" x14ac:dyDescent="0.55000000000000004">
      <c r="A895">
        <v>0</v>
      </c>
      <c r="B895" t="s">
        <v>1440</v>
      </c>
      <c r="C895" t="str">
        <f>"S50.82"</f>
        <v>S50.82</v>
      </c>
      <c r="D895" t="s">
        <v>895</v>
      </c>
    </row>
    <row r="896" spans="1:4" x14ac:dyDescent="0.55000000000000004">
      <c r="A896">
        <v>0</v>
      </c>
      <c r="B896" t="s">
        <v>1440</v>
      </c>
      <c r="C896" t="str">
        <f>"S50.83"</f>
        <v>S50.83</v>
      </c>
      <c r="D896" t="s">
        <v>896</v>
      </c>
    </row>
    <row r="897" spans="1:4" x14ac:dyDescent="0.55000000000000004">
      <c r="A897">
        <v>0</v>
      </c>
      <c r="B897" t="s">
        <v>1440</v>
      </c>
      <c r="C897" t="str">
        <f>"S50.88"</f>
        <v>S50.88</v>
      </c>
      <c r="D897" t="s">
        <v>897</v>
      </c>
    </row>
    <row r="898" spans="1:4" x14ac:dyDescent="0.55000000000000004">
      <c r="A898">
        <v>0</v>
      </c>
      <c r="B898" t="s">
        <v>1440</v>
      </c>
      <c r="C898" t="str">
        <f>"S50.9"</f>
        <v>S50.9</v>
      </c>
      <c r="D898" t="s">
        <v>898</v>
      </c>
    </row>
    <row r="899" spans="1:4" x14ac:dyDescent="0.55000000000000004">
      <c r="A899">
        <v>0</v>
      </c>
      <c r="B899" t="s">
        <v>1440</v>
      </c>
      <c r="C899" t="str">
        <f>"S51.0"</f>
        <v>S51.0</v>
      </c>
      <c r="D899" t="s">
        <v>899</v>
      </c>
    </row>
    <row r="900" spans="1:4" x14ac:dyDescent="0.55000000000000004">
      <c r="A900">
        <v>0</v>
      </c>
      <c r="B900" t="s">
        <v>1440</v>
      </c>
      <c r="C900" t="str">
        <f>"S51.1"</f>
        <v>S51.1</v>
      </c>
      <c r="D900" t="s">
        <v>900</v>
      </c>
    </row>
    <row r="901" spans="1:4" x14ac:dyDescent="0.55000000000000004">
      <c r="A901">
        <v>0</v>
      </c>
      <c r="B901" t="s">
        <v>1440</v>
      </c>
      <c r="C901" t="str">
        <f>"S51.7"</f>
        <v>S51.7</v>
      </c>
      <c r="D901" t="s">
        <v>901</v>
      </c>
    </row>
    <row r="902" spans="1:4" x14ac:dyDescent="0.55000000000000004">
      <c r="A902">
        <v>0</v>
      </c>
      <c r="B902" t="s">
        <v>1440</v>
      </c>
      <c r="C902" t="str">
        <f>"S51.8"</f>
        <v>S51.8</v>
      </c>
      <c r="D902" t="s">
        <v>902</v>
      </c>
    </row>
    <row r="903" spans="1:4" x14ac:dyDescent="0.55000000000000004">
      <c r="A903">
        <v>0</v>
      </c>
      <c r="B903" t="s">
        <v>1440</v>
      </c>
      <c r="C903" t="str">
        <f>"S51.9"</f>
        <v>S51.9</v>
      </c>
      <c r="D903" t="s">
        <v>903</v>
      </c>
    </row>
    <row r="904" spans="1:4" x14ac:dyDescent="0.55000000000000004">
      <c r="A904">
        <v>0</v>
      </c>
      <c r="B904" t="s">
        <v>1440</v>
      </c>
      <c r="C904" t="str">
        <f>"S52.0"</f>
        <v>S52.0</v>
      </c>
      <c r="D904" t="s">
        <v>904</v>
      </c>
    </row>
    <row r="905" spans="1:4" x14ac:dyDescent="0.55000000000000004">
      <c r="A905">
        <v>0</v>
      </c>
      <c r="B905" t="s">
        <v>1440</v>
      </c>
      <c r="C905" t="str">
        <f>"S52.00"</f>
        <v>S52.00</v>
      </c>
      <c r="D905" t="s">
        <v>905</v>
      </c>
    </row>
    <row r="906" spans="1:4" x14ac:dyDescent="0.55000000000000004">
      <c r="A906">
        <v>0</v>
      </c>
      <c r="B906" t="s">
        <v>1440</v>
      </c>
      <c r="C906" t="str">
        <f>"S52.000"</f>
        <v>S52.000</v>
      </c>
      <c r="D906" t="s">
        <v>906</v>
      </c>
    </row>
    <row r="907" spans="1:4" x14ac:dyDescent="0.55000000000000004">
      <c r="A907">
        <v>0</v>
      </c>
      <c r="B907" t="s">
        <v>1440</v>
      </c>
      <c r="C907" t="str">
        <f>"S52.010"</f>
        <v>S52.010</v>
      </c>
      <c r="D907" t="s">
        <v>907</v>
      </c>
    </row>
    <row r="908" spans="1:4" x14ac:dyDescent="0.55000000000000004">
      <c r="A908">
        <v>0</v>
      </c>
      <c r="B908" t="s">
        <v>1440</v>
      </c>
      <c r="C908" t="str">
        <f>"S52.020"</f>
        <v>S52.020</v>
      </c>
      <c r="D908" t="s">
        <v>908</v>
      </c>
    </row>
    <row r="909" spans="1:4" x14ac:dyDescent="0.55000000000000004">
      <c r="A909">
        <v>0</v>
      </c>
      <c r="B909" t="s">
        <v>1440</v>
      </c>
      <c r="C909" t="str">
        <f>"S52.030"</f>
        <v>S52.030</v>
      </c>
      <c r="D909" t="s">
        <v>909</v>
      </c>
    </row>
    <row r="910" spans="1:4" x14ac:dyDescent="0.55000000000000004">
      <c r="A910">
        <v>0</v>
      </c>
      <c r="B910" t="s">
        <v>1440</v>
      </c>
      <c r="C910" t="str">
        <f>"S52.070"</f>
        <v>S52.070</v>
      </c>
      <c r="D910" t="s">
        <v>910</v>
      </c>
    </row>
    <row r="911" spans="1:4" x14ac:dyDescent="0.55000000000000004">
      <c r="A911">
        <v>0</v>
      </c>
      <c r="B911" t="s">
        <v>1440</v>
      </c>
      <c r="C911" t="str">
        <f>"S52.080"</f>
        <v>S52.080</v>
      </c>
      <c r="D911" t="s">
        <v>911</v>
      </c>
    </row>
    <row r="912" spans="1:4" x14ac:dyDescent="0.55000000000000004">
      <c r="A912">
        <v>0</v>
      </c>
      <c r="B912" t="s">
        <v>1440</v>
      </c>
      <c r="C912" t="str">
        <f>"S52.090"</f>
        <v>S52.090</v>
      </c>
      <c r="D912" t="s">
        <v>912</v>
      </c>
    </row>
    <row r="913" spans="1:4" x14ac:dyDescent="0.55000000000000004">
      <c r="A913">
        <v>0</v>
      </c>
      <c r="B913" t="s">
        <v>1440</v>
      </c>
      <c r="C913" t="str">
        <f>"S52.1"</f>
        <v>S52.1</v>
      </c>
      <c r="D913" t="s">
        <v>913</v>
      </c>
    </row>
    <row r="914" spans="1:4" x14ac:dyDescent="0.55000000000000004">
      <c r="A914">
        <v>0</v>
      </c>
      <c r="B914" t="s">
        <v>1440</v>
      </c>
      <c r="C914" t="str">
        <f>"S52.10"</f>
        <v>S52.10</v>
      </c>
      <c r="D914" t="s">
        <v>914</v>
      </c>
    </row>
    <row r="915" spans="1:4" x14ac:dyDescent="0.55000000000000004">
      <c r="A915">
        <v>0</v>
      </c>
      <c r="B915" t="s">
        <v>1440</v>
      </c>
      <c r="C915" t="str">
        <f>"S52.100"</f>
        <v>S52.100</v>
      </c>
      <c r="D915" t="s">
        <v>915</v>
      </c>
    </row>
    <row r="916" spans="1:4" x14ac:dyDescent="0.55000000000000004">
      <c r="A916">
        <v>0</v>
      </c>
      <c r="B916" t="s">
        <v>1440</v>
      </c>
      <c r="C916" t="str">
        <f>"S52.110"</f>
        <v>S52.110</v>
      </c>
      <c r="D916" t="s">
        <v>916</v>
      </c>
    </row>
    <row r="917" spans="1:4" x14ac:dyDescent="0.55000000000000004">
      <c r="A917">
        <v>0</v>
      </c>
      <c r="B917" t="s">
        <v>1440</v>
      </c>
      <c r="C917" t="str">
        <f>"S52.120"</f>
        <v>S52.120</v>
      </c>
      <c r="D917" t="s">
        <v>917</v>
      </c>
    </row>
    <row r="918" spans="1:4" x14ac:dyDescent="0.55000000000000004">
      <c r="A918">
        <v>0</v>
      </c>
      <c r="B918" t="s">
        <v>1440</v>
      </c>
      <c r="C918" t="str">
        <f>"S52.170"</f>
        <v>S52.170</v>
      </c>
      <c r="D918" t="s">
        <v>918</v>
      </c>
    </row>
    <row r="919" spans="1:4" x14ac:dyDescent="0.55000000000000004">
      <c r="A919">
        <v>0</v>
      </c>
      <c r="B919" t="s">
        <v>1440</v>
      </c>
      <c r="C919" t="str">
        <f>"S52.180"</f>
        <v>S52.180</v>
      </c>
      <c r="D919" t="s">
        <v>919</v>
      </c>
    </row>
    <row r="920" spans="1:4" x14ac:dyDescent="0.55000000000000004">
      <c r="A920">
        <v>0</v>
      </c>
      <c r="B920" t="s">
        <v>1440</v>
      </c>
      <c r="C920" t="str">
        <f>"S52.190"</f>
        <v>S52.190</v>
      </c>
      <c r="D920" t="s">
        <v>920</v>
      </c>
    </row>
    <row r="921" spans="1:4" x14ac:dyDescent="0.55000000000000004">
      <c r="A921">
        <v>0</v>
      </c>
      <c r="B921" t="s">
        <v>1440</v>
      </c>
      <c r="C921" t="str">
        <f>"S52.2"</f>
        <v>S52.2</v>
      </c>
      <c r="D921" t="s">
        <v>921</v>
      </c>
    </row>
    <row r="922" spans="1:4" x14ac:dyDescent="0.55000000000000004">
      <c r="A922">
        <v>0</v>
      </c>
      <c r="B922" t="s">
        <v>1440</v>
      </c>
      <c r="C922" t="str">
        <f>"S52.20"</f>
        <v>S52.20</v>
      </c>
      <c r="D922" t="s">
        <v>922</v>
      </c>
    </row>
    <row r="923" spans="1:4" x14ac:dyDescent="0.55000000000000004">
      <c r="A923">
        <v>0</v>
      </c>
      <c r="B923" t="s">
        <v>1440</v>
      </c>
      <c r="C923" t="str">
        <f>"S52.200"</f>
        <v>S52.200</v>
      </c>
      <c r="D923" t="s">
        <v>923</v>
      </c>
    </row>
    <row r="924" spans="1:4" x14ac:dyDescent="0.55000000000000004">
      <c r="A924">
        <v>0</v>
      </c>
      <c r="B924" t="s">
        <v>1440</v>
      </c>
      <c r="C924" t="str">
        <f>"S52.210"</f>
        <v>S52.210</v>
      </c>
      <c r="D924" t="s">
        <v>924</v>
      </c>
    </row>
    <row r="925" spans="1:4" x14ac:dyDescent="0.55000000000000004">
      <c r="A925">
        <v>0</v>
      </c>
      <c r="B925" t="s">
        <v>1440</v>
      </c>
      <c r="C925" t="str">
        <f>"S52.220"</f>
        <v>S52.220</v>
      </c>
      <c r="D925" t="s">
        <v>925</v>
      </c>
    </row>
    <row r="926" spans="1:4" x14ac:dyDescent="0.55000000000000004">
      <c r="A926">
        <v>0</v>
      </c>
      <c r="B926" t="s">
        <v>1440</v>
      </c>
      <c r="C926" t="str">
        <f>"S52.230"</f>
        <v>S52.230</v>
      </c>
      <c r="D926" t="s">
        <v>926</v>
      </c>
    </row>
    <row r="927" spans="1:4" x14ac:dyDescent="0.55000000000000004">
      <c r="A927">
        <v>0</v>
      </c>
      <c r="B927" t="s">
        <v>1440</v>
      </c>
      <c r="C927" t="str">
        <f>"S52.270"</f>
        <v>S52.270</v>
      </c>
      <c r="D927" t="s">
        <v>927</v>
      </c>
    </row>
    <row r="928" spans="1:4" x14ac:dyDescent="0.55000000000000004">
      <c r="A928">
        <v>0</v>
      </c>
      <c r="B928" t="s">
        <v>1440</v>
      </c>
      <c r="C928" t="str">
        <f>"S52.290"</f>
        <v>S52.290</v>
      </c>
      <c r="D928" t="s">
        <v>928</v>
      </c>
    </row>
    <row r="929" spans="1:4" x14ac:dyDescent="0.55000000000000004">
      <c r="A929">
        <v>0</v>
      </c>
      <c r="B929" t="s">
        <v>1440</v>
      </c>
      <c r="C929" t="str">
        <f>"S52.3"</f>
        <v>S52.3</v>
      </c>
      <c r="D929" t="s">
        <v>929</v>
      </c>
    </row>
    <row r="930" spans="1:4" x14ac:dyDescent="0.55000000000000004">
      <c r="A930">
        <v>0</v>
      </c>
      <c r="B930" t="s">
        <v>1440</v>
      </c>
      <c r="C930" t="str">
        <f>"S52.30"</f>
        <v>S52.30</v>
      </c>
      <c r="D930" t="s">
        <v>930</v>
      </c>
    </row>
    <row r="931" spans="1:4" x14ac:dyDescent="0.55000000000000004">
      <c r="A931">
        <v>0</v>
      </c>
      <c r="B931" t="s">
        <v>1440</v>
      </c>
      <c r="C931" t="str">
        <f>"S52.300"</f>
        <v>S52.300</v>
      </c>
      <c r="D931" t="s">
        <v>931</v>
      </c>
    </row>
    <row r="932" spans="1:4" x14ac:dyDescent="0.55000000000000004">
      <c r="A932">
        <v>0</v>
      </c>
      <c r="B932" t="s">
        <v>1440</v>
      </c>
      <c r="C932" t="str">
        <f>"S52.310"</f>
        <v>S52.310</v>
      </c>
      <c r="D932" t="s">
        <v>932</v>
      </c>
    </row>
    <row r="933" spans="1:4" x14ac:dyDescent="0.55000000000000004">
      <c r="A933">
        <v>0</v>
      </c>
      <c r="B933" t="s">
        <v>1440</v>
      </c>
      <c r="C933" t="str">
        <f>"S52.320"</f>
        <v>S52.320</v>
      </c>
      <c r="D933" t="s">
        <v>933</v>
      </c>
    </row>
    <row r="934" spans="1:4" x14ac:dyDescent="0.55000000000000004">
      <c r="A934">
        <v>0</v>
      </c>
      <c r="B934" t="s">
        <v>1440</v>
      </c>
      <c r="C934" t="str">
        <f>"S52.330"</f>
        <v>S52.330</v>
      </c>
      <c r="D934" t="s">
        <v>934</v>
      </c>
    </row>
    <row r="935" spans="1:4" x14ac:dyDescent="0.55000000000000004">
      <c r="A935">
        <v>0</v>
      </c>
      <c r="B935" t="s">
        <v>1440</v>
      </c>
      <c r="C935" t="str">
        <f>"S52.370"</f>
        <v>S52.370</v>
      </c>
      <c r="D935" t="s">
        <v>935</v>
      </c>
    </row>
    <row r="936" spans="1:4" x14ac:dyDescent="0.55000000000000004">
      <c r="A936">
        <v>0</v>
      </c>
      <c r="B936" t="s">
        <v>1440</v>
      </c>
      <c r="C936" t="str">
        <f>"S52.390"</f>
        <v>S52.390</v>
      </c>
      <c r="D936" t="s">
        <v>936</v>
      </c>
    </row>
    <row r="937" spans="1:4" x14ac:dyDescent="0.55000000000000004">
      <c r="A937">
        <v>0</v>
      </c>
      <c r="B937" t="s">
        <v>1440</v>
      </c>
      <c r="C937" t="str">
        <f>"S52.4"</f>
        <v>S52.4</v>
      </c>
      <c r="D937" t="s">
        <v>937</v>
      </c>
    </row>
    <row r="938" spans="1:4" x14ac:dyDescent="0.55000000000000004">
      <c r="A938">
        <v>0</v>
      </c>
      <c r="B938" t="s">
        <v>1440</v>
      </c>
      <c r="C938" t="str">
        <f>"S52.40"</f>
        <v>S52.40</v>
      </c>
      <c r="D938" t="s">
        <v>938</v>
      </c>
    </row>
    <row r="939" spans="1:4" x14ac:dyDescent="0.55000000000000004">
      <c r="A939">
        <v>0</v>
      </c>
      <c r="B939" t="s">
        <v>1440</v>
      </c>
      <c r="C939" t="str">
        <f>"S52.5"</f>
        <v>S52.5</v>
      </c>
      <c r="D939" t="s">
        <v>939</v>
      </c>
    </row>
    <row r="940" spans="1:4" x14ac:dyDescent="0.55000000000000004">
      <c r="A940">
        <v>0</v>
      </c>
      <c r="B940" t="s">
        <v>1440</v>
      </c>
      <c r="C940" t="str">
        <f>"S52.50"</f>
        <v>S52.50</v>
      </c>
      <c r="D940" t="s">
        <v>940</v>
      </c>
    </row>
    <row r="941" spans="1:4" x14ac:dyDescent="0.55000000000000004">
      <c r="A941">
        <v>0</v>
      </c>
      <c r="B941" t="s">
        <v>1440</v>
      </c>
      <c r="C941" t="str">
        <f>"S52.500"</f>
        <v>S52.500</v>
      </c>
      <c r="D941" t="s">
        <v>941</v>
      </c>
    </row>
    <row r="942" spans="1:4" x14ac:dyDescent="0.55000000000000004">
      <c r="A942">
        <v>0</v>
      </c>
      <c r="B942" t="s">
        <v>1440</v>
      </c>
      <c r="C942" t="str">
        <f>"S52.510"</f>
        <v>S52.510</v>
      </c>
      <c r="D942" t="s">
        <v>942</v>
      </c>
    </row>
    <row r="943" spans="1:4" x14ac:dyDescent="0.55000000000000004">
      <c r="A943">
        <v>0</v>
      </c>
      <c r="B943" t="s">
        <v>1440</v>
      </c>
      <c r="C943" t="str">
        <f>"S52.520"</f>
        <v>S52.520</v>
      </c>
      <c r="D943" t="s">
        <v>943</v>
      </c>
    </row>
    <row r="944" spans="1:4" x14ac:dyDescent="0.55000000000000004">
      <c r="A944">
        <v>0</v>
      </c>
      <c r="B944" t="s">
        <v>1440</v>
      </c>
      <c r="C944" t="str">
        <f>"S52.530"</f>
        <v>S52.530</v>
      </c>
      <c r="D944" t="s">
        <v>944</v>
      </c>
    </row>
    <row r="945" spans="1:4" x14ac:dyDescent="0.55000000000000004">
      <c r="A945">
        <v>0</v>
      </c>
      <c r="B945" t="s">
        <v>1440</v>
      </c>
      <c r="C945" t="str">
        <f>"S52.540"</f>
        <v>S52.540</v>
      </c>
      <c r="D945" t="s">
        <v>945</v>
      </c>
    </row>
    <row r="946" spans="1:4" x14ac:dyDescent="0.55000000000000004">
      <c r="A946">
        <v>0</v>
      </c>
      <c r="B946" t="s">
        <v>1440</v>
      </c>
      <c r="C946" t="str">
        <f>"S52.570"</f>
        <v>S52.570</v>
      </c>
      <c r="D946" t="s">
        <v>946</v>
      </c>
    </row>
    <row r="947" spans="1:4" x14ac:dyDescent="0.55000000000000004">
      <c r="A947">
        <v>0</v>
      </c>
      <c r="B947" t="s">
        <v>1440</v>
      </c>
      <c r="C947" t="str">
        <f>"S52.580"</f>
        <v>S52.580</v>
      </c>
      <c r="D947" t="s">
        <v>947</v>
      </c>
    </row>
    <row r="948" spans="1:4" x14ac:dyDescent="0.55000000000000004">
      <c r="A948">
        <v>0</v>
      </c>
      <c r="B948" t="s">
        <v>1440</v>
      </c>
      <c r="C948" t="str">
        <f>"S52.590"</f>
        <v>S52.590</v>
      </c>
      <c r="D948" t="s">
        <v>948</v>
      </c>
    </row>
    <row r="949" spans="1:4" x14ac:dyDescent="0.55000000000000004">
      <c r="A949">
        <v>0</v>
      </c>
      <c r="B949" t="s">
        <v>1440</v>
      </c>
      <c r="C949" t="str">
        <f>"S52.6"</f>
        <v>S52.6</v>
      </c>
      <c r="D949" t="s">
        <v>949</v>
      </c>
    </row>
    <row r="950" spans="1:4" x14ac:dyDescent="0.55000000000000004">
      <c r="A950">
        <v>0</v>
      </c>
      <c r="B950" t="s">
        <v>1440</v>
      </c>
      <c r="C950" t="str">
        <f>"S52.60"</f>
        <v>S52.60</v>
      </c>
      <c r="D950" t="s">
        <v>950</v>
      </c>
    </row>
    <row r="951" spans="1:4" x14ac:dyDescent="0.55000000000000004">
      <c r="A951">
        <v>0</v>
      </c>
      <c r="B951" t="s">
        <v>1440</v>
      </c>
      <c r="C951" t="str">
        <f>"S52.7"</f>
        <v>S52.7</v>
      </c>
      <c r="D951" t="s">
        <v>951</v>
      </c>
    </row>
    <row r="952" spans="1:4" x14ac:dyDescent="0.55000000000000004">
      <c r="A952">
        <v>0</v>
      </c>
      <c r="B952" t="s">
        <v>1440</v>
      </c>
      <c r="C952" t="str">
        <f>"S52.70"</f>
        <v>S52.70</v>
      </c>
      <c r="D952" t="s">
        <v>952</v>
      </c>
    </row>
    <row r="953" spans="1:4" x14ac:dyDescent="0.55000000000000004">
      <c r="A953">
        <v>0</v>
      </c>
      <c r="B953" t="s">
        <v>1440</v>
      </c>
      <c r="C953" t="str">
        <f>"S52.700"</f>
        <v>S52.700</v>
      </c>
      <c r="D953" t="s">
        <v>953</v>
      </c>
    </row>
    <row r="954" spans="1:4" x14ac:dyDescent="0.55000000000000004">
      <c r="A954">
        <v>0</v>
      </c>
      <c r="B954" t="s">
        <v>1440</v>
      </c>
      <c r="C954" t="str">
        <f>"S52.780"</f>
        <v>S52.780</v>
      </c>
      <c r="D954" t="s">
        <v>954</v>
      </c>
    </row>
    <row r="955" spans="1:4" x14ac:dyDescent="0.55000000000000004">
      <c r="A955">
        <v>0</v>
      </c>
      <c r="B955" t="s">
        <v>1440</v>
      </c>
      <c r="C955" t="str">
        <f>"S52.790"</f>
        <v>S52.790</v>
      </c>
      <c r="D955" t="s">
        <v>955</v>
      </c>
    </row>
    <row r="956" spans="1:4" x14ac:dyDescent="0.55000000000000004">
      <c r="A956">
        <v>0</v>
      </c>
      <c r="B956" t="s">
        <v>1440</v>
      </c>
      <c r="C956" t="str">
        <f>"S52.8"</f>
        <v>S52.8</v>
      </c>
      <c r="D956" t="s">
        <v>956</v>
      </c>
    </row>
    <row r="957" spans="1:4" x14ac:dyDescent="0.55000000000000004">
      <c r="A957">
        <v>0</v>
      </c>
      <c r="B957" t="s">
        <v>1440</v>
      </c>
      <c r="C957" t="str">
        <f>"S52.80"</f>
        <v>S52.80</v>
      </c>
      <c r="D957" t="s">
        <v>957</v>
      </c>
    </row>
    <row r="958" spans="1:4" x14ac:dyDescent="0.55000000000000004">
      <c r="A958">
        <v>0</v>
      </c>
      <c r="B958" t="s">
        <v>1440</v>
      </c>
      <c r="C958" t="str">
        <f>"S52.9"</f>
        <v>S52.9</v>
      </c>
      <c r="D958" t="s">
        <v>958</v>
      </c>
    </row>
    <row r="959" spans="1:4" x14ac:dyDescent="0.55000000000000004">
      <c r="A959">
        <v>0</v>
      </c>
      <c r="B959" t="s">
        <v>1440</v>
      </c>
      <c r="C959" t="str">
        <f>"S52.90"</f>
        <v>S52.90</v>
      </c>
      <c r="D959" t="s">
        <v>959</v>
      </c>
    </row>
    <row r="960" spans="1:4" x14ac:dyDescent="0.55000000000000004">
      <c r="A960">
        <v>0</v>
      </c>
      <c r="B960" t="s">
        <v>1440</v>
      </c>
      <c r="C960" t="str">
        <f>"S53.0"</f>
        <v>S53.0</v>
      </c>
      <c r="D960" t="s">
        <v>960</v>
      </c>
    </row>
    <row r="961" spans="1:4" x14ac:dyDescent="0.55000000000000004">
      <c r="A961">
        <v>0</v>
      </c>
      <c r="B961" t="s">
        <v>1440</v>
      </c>
      <c r="C961" t="str">
        <f>"S53.00"</f>
        <v>S53.00</v>
      </c>
      <c r="D961" t="s">
        <v>961</v>
      </c>
    </row>
    <row r="962" spans="1:4" x14ac:dyDescent="0.55000000000000004">
      <c r="A962">
        <v>0</v>
      </c>
      <c r="B962" t="s">
        <v>1440</v>
      </c>
      <c r="C962" t="str">
        <f>"S53.01"</f>
        <v>S53.01</v>
      </c>
      <c r="D962" t="s">
        <v>962</v>
      </c>
    </row>
    <row r="963" spans="1:4" x14ac:dyDescent="0.55000000000000004">
      <c r="A963">
        <v>0</v>
      </c>
      <c r="B963" t="s">
        <v>1440</v>
      </c>
      <c r="C963" t="str">
        <f>"S53.02"</f>
        <v>S53.02</v>
      </c>
      <c r="D963" t="s">
        <v>963</v>
      </c>
    </row>
    <row r="964" spans="1:4" x14ac:dyDescent="0.55000000000000004">
      <c r="A964">
        <v>0</v>
      </c>
      <c r="B964" t="s">
        <v>1440</v>
      </c>
      <c r="C964" t="str">
        <f>"S53.1"</f>
        <v>S53.1</v>
      </c>
      <c r="D964" t="s">
        <v>964</v>
      </c>
    </row>
    <row r="965" spans="1:4" x14ac:dyDescent="0.55000000000000004">
      <c r="A965">
        <v>0</v>
      </c>
      <c r="B965" t="s">
        <v>1440</v>
      </c>
      <c r="C965" t="str">
        <f>"S53.10"</f>
        <v>S53.10</v>
      </c>
      <c r="D965" t="s">
        <v>965</v>
      </c>
    </row>
    <row r="966" spans="1:4" x14ac:dyDescent="0.55000000000000004">
      <c r="A966">
        <v>0</v>
      </c>
      <c r="B966" t="s">
        <v>1440</v>
      </c>
      <c r="C966" t="str">
        <f>"S53.11"</f>
        <v>S53.11</v>
      </c>
      <c r="D966" t="s">
        <v>966</v>
      </c>
    </row>
    <row r="967" spans="1:4" x14ac:dyDescent="0.55000000000000004">
      <c r="A967">
        <v>0</v>
      </c>
      <c r="B967" t="s">
        <v>1440</v>
      </c>
      <c r="C967" t="str">
        <f>"S53.12"</f>
        <v>S53.12</v>
      </c>
      <c r="D967" t="s">
        <v>967</v>
      </c>
    </row>
    <row r="968" spans="1:4" x14ac:dyDescent="0.55000000000000004">
      <c r="A968">
        <v>0</v>
      </c>
      <c r="B968" t="s">
        <v>1440</v>
      </c>
      <c r="C968" t="str">
        <f>"S53.13"</f>
        <v>S53.13</v>
      </c>
      <c r="D968" t="s">
        <v>968</v>
      </c>
    </row>
    <row r="969" spans="1:4" x14ac:dyDescent="0.55000000000000004">
      <c r="A969">
        <v>0</v>
      </c>
      <c r="B969" t="s">
        <v>1440</v>
      </c>
      <c r="C969" t="str">
        <f>"S53.14"</f>
        <v>S53.14</v>
      </c>
      <c r="D969" t="s">
        <v>969</v>
      </c>
    </row>
    <row r="970" spans="1:4" x14ac:dyDescent="0.55000000000000004">
      <c r="A970">
        <v>0</v>
      </c>
      <c r="B970" t="s">
        <v>1440</v>
      </c>
      <c r="C970" t="str">
        <f>"S53.15"</f>
        <v>S53.15</v>
      </c>
      <c r="D970" t="s">
        <v>970</v>
      </c>
    </row>
    <row r="971" spans="1:4" x14ac:dyDescent="0.55000000000000004">
      <c r="A971">
        <v>0</v>
      </c>
      <c r="B971" t="s">
        <v>1440</v>
      </c>
      <c r="C971" t="str">
        <f>"S53.18"</f>
        <v>S53.18</v>
      </c>
      <c r="D971" t="s">
        <v>971</v>
      </c>
    </row>
    <row r="972" spans="1:4" x14ac:dyDescent="0.55000000000000004">
      <c r="A972">
        <v>0</v>
      </c>
      <c r="B972" t="s">
        <v>1440</v>
      </c>
      <c r="C972" t="str">
        <f>"S53.19"</f>
        <v>S53.19</v>
      </c>
      <c r="D972" t="s">
        <v>972</v>
      </c>
    </row>
    <row r="973" spans="1:4" x14ac:dyDescent="0.55000000000000004">
      <c r="A973">
        <v>0</v>
      </c>
      <c r="B973" t="s">
        <v>1440</v>
      </c>
      <c r="C973" t="str">
        <f>"S53.2"</f>
        <v>S53.2</v>
      </c>
      <c r="D973" t="s">
        <v>973</v>
      </c>
    </row>
    <row r="974" spans="1:4" x14ac:dyDescent="0.55000000000000004">
      <c r="A974">
        <v>0</v>
      </c>
      <c r="B974" t="s">
        <v>1440</v>
      </c>
      <c r="C974" t="str">
        <f>"S53.3"</f>
        <v>S53.3</v>
      </c>
      <c r="D974" t="s">
        <v>974</v>
      </c>
    </row>
    <row r="975" spans="1:4" x14ac:dyDescent="0.55000000000000004">
      <c r="A975">
        <v>0</v>
      </c>
      <c r="B975" t="s">
        <v>1440</v>
      </c>
      <c r="C975" t="str">
        <f>"S53.4"</f>
        <v>S53.4</v>
      </c>
      <c r="D975" t="s">
        <v>975</v>
      </c>
    </row>
    <row r="976" spans="1:4" x14ac:dyDescent="0.55000000000000004">
      <c r="A976">
        <v>0</v>
      </c>
      <c r="B976" t="s">
        <v>1440</v>
      </c>
      <c r="C976" t="str">
        <f>"S54.3"</f>
        <v>S54.3</v>
      </c>
      <c r="D976" t="s">
        <v>976</v>
      </c>
    </row>
    <row r="977" spans="1:4" x14ac:dyDescent="0.55000000000000004">
      <c r="A977">
        <v>0</v>
      </c>
      <c r="B977" t="s">
        <v>1440</v>
      </c>
      <c r="C977" t="str">
        <f>"S54.8"</f>
        <v>S54.8</v>
      </c>
      <c r="D977" t="s">
        <v>977</v>
      </c>
    </row>
    <row r="978" spans="1:4" x14ac:dyDescent="0.55000000000000004">
      <c r="A978">
        <v>0</v>
      </c>
      <c r="B978" t="s">
        <v>1440</v>
      </c>
      <c r="C978" t="str">
        <f>"S54.9"</f>
        <v>S54.9</v>
      </c>
      <c r="D978" t="s">
        <v>978</v>
      </c>
    </row>
    <row r="979" spans="1:4" x14ac:dyDescent="0.55000000000000004">
      <c r="A979">
        <v>0</v>
      </c>
      <c r="B979" t="s">
        <v>1440</v>
      </c>
      <c r="C979" t="str">
        <f>"S55.2"</f>
        <v>S55.2</v>
      </c>
      <c r="D979" t="s">
        <v>979</v>
      </c>
    </row>
    <row r="980" spans="1:4" x14ac:dyDescent="0.55000000000000004">
      <c r="A980">
        <v>0</v>
      </c>
      <c r="B980" t="s">
        <v>1440</v>
      </c>
      <c r="C980" t="str">
        <f>"S55.7"</f>
        <v>S55.7</v>
      </c>
      <c r="D980" t="s">
        <v>980</v>
      </c>
    </row>
    <row r="981" spans="1:4" x14ac:dyDescent="0.55000000000000004">
      <c r="A981">
        <v>0</v>
      </c>
      <c r="B981" t="s">
        <v>1440</v>
      </c>
      <c r="C981" t="str">
        <f>"S55.8"</f>
        <v>S55.8</v>
      </c>
      <c r="D981" t="s">
        <v>981</v>
      </c>
    </row>
    <row r="982" spans="1:4" x14ac:dyDescent="0.55000000000000004">
      <c r="A982">
        <v>0</v>
      </c>
      <c r="B982" t="s">
        <v>1440</v>
      </c>
      <c r="C982" t="str">
        <f>"S55.9"</f>
        <v>S55.9</v>
      </c>
      <c r="D982" t="s">
        <v>982</v>
      </c>
    </row>
    <row r="983" spans="1:4" x14ac:dyDescent="0.55000000000000004">
      <c r="A983">
        <v>0</v>
      </c>
      <c r="B983" t="s">
        <v>1440</v>
      </c>
      <c r="C983" t="str">
        <f>"S56.0"</f>
        <v>S56.0</v>
      </c>
      <c r="D983" t="s">
        <v>983</v>
      </c>
    </row>
    <row r="984" spans="1:4" x14ac:dyDescent="0.55000000000000004">
      <c r="A984">
        <v>0</v>
      </c>
      <c r="B984" t="s">
        <v>1440</v>
      </c>
      <c r="C984" t="str">
        <f>"S56.1"</f>
        <v>S56.1</v>
      </c>
      <c r="D984" t="s">
        <v>984</v>
      </c>
    </row>
    <row r="985" spans="1:4" x14ac:dyDescent="0.55000000000000004">
      <c r="A985">
        <v>0</v>
      </c>
      <c r="B985" t="s">
        <v>1440</v>
      </c>
      <c r="C985" t="str">
        <f>"S56.2"</f>
        <v>S56.2</v>
      </c>
      <c r="D985" t="s">
        <v>985</v>
      </c>
    </row>
    <row r="986" spans="1:4" x14ac:dyDescent="0.55000000000000004">
      <c r="A986">
        <v>0</v>
      </c>
      <c r="B986" t="s">
        <v>1440</v>
      </c>
      <c r="C986" t="str">
        <f>"S56.3"</f>
        <v>S56.3</v>
      </c>
      <c r="D986" t="s">
        <v>986</v>
      </c>
    </row>
    <row r="987" spans="1:4" x14ac:dyDescent="0.55000000000000004">
      <c r="A987">
        <v>0</v>
      </c>
      <c r="B987" t="s">
        <v>1440</v>
      </c>
      <c r="C987" t="str">
        <f>"S56.4"</f>
        <v>S56.4</v>
      </c>
      <c r="D987" t="s">
        <v>987</v>
      </c>
    </row>
    <row r="988" spans="1:4" x14ac:dyDescent="0.55000000000000004">
      <c r="A988">
        <v>0</v>
      </c>
      <c r="B988" t="s">
        <v>1440</v>
      </c>
      <c r="C988" t="str">
        <f>"S56.5"</f>
        <v>S56.5</v>
      </c>
      <c r="D988" t="s">
        <v>988</v>
      </c>
    </row>
    <row r="989" spans="1:4" x14ac:dyDescent="0.55000000000000004">
      <c r="A989">
        <v>0</v>
      </c>
      <c r="B989" t="s">
        <v>1440</v>
      </c>
      <c r="C989" t="str">
        <f>"S56.7"</f>
        <v>S56.7</v>
      </c>
      <c r="D989" t="s">
        <v>989</v>
      </c>
    </row>
    <row r="990" spans="1:4" x14ac:dyDescent="0.55000000000000004">
      <c r="A990">
        <v>0</v>
      </c>
      <c r="B990" t="s">
        <v>1440</v>
      </c>
      <c r="C990" t="str">
        <f>"S56.8"</f>
        <v>S56.8</v>
      </c>
      <c r="D990" t="s">
        <v>990</v>
      </c>
    </row>
    <row r="991" spans="1:4" x14ac:dyDescent="0.55000000000000004">
      <c r="A991">
        <v>0</v>
      </c>
      <c r="B991" t="s">
        <v>1440</v>
      </c>
      <c r="C991" t="str">
        <f>"S57.0"</f>
        <v>S57.0</v>
      </c>
      <c r="D991" t="s">
        <v>991</v>
      </c>
    </row>
    <row r="992" spans="1:4" x14ac:dyDescent="0.55000000000000004">
      <c r="A992">
        <v>0</v>
      </c>
      <c r="B992" t="s">
        <v>1440</v>
      </c>
      <c r="C992" t="str">
        <f>"S57.8"</f>
        <v>S57.8</v>
      </c>
      <c r="D992" t="s">
        <v>992</v>
      </c>
    </row>
    <row r="993" spans="1:4" x14ac:dyDescent="0.55000000000000004">
      <c r="A993">
        <v>0</v>
      </c>
      <c r="B993" t="s">
        <v>1440</v>
      </c>
      <c r="C993" t="str">
        <f>"S57.9"</f>
        <v>S57.9</v>
      </c>
      <c r="D993" t="s">
        <v>993</v>
      </c>
    </row>
    <row r="994" spans="1:4" x14ac:dyDescent="0.55000000000000004">
      <c r="A994">
        <v>0</v>
      </c>
      <c r="B994" t="s">
        <v>1440</v>
      </c>
      <c r="C994" t="str">
        <f>"S59.7"</f>
        <v>S59.7</v>
      </c>
      <c r="D994" t="s">
        <v>994</v>
      </c>
    </row>
    <row r="995" spans="1:4" x14ac:dyDescent="0.55000000000000004">
      <c r="A995">
        <v>0</v>
      </c>
      <c r="B995" t="s">
        <v>1440</v>
      </c>
      <c r="C995" t="str">
        <f>"S59.8"</f>
        <v>S59.8</v>
      </c>
      <c r="D995" t="s">
        <v>995</v>
      </c>
    </row>
    <row r="996" spans="1:4" x14ac:dyDescent="0.55000000000000004">
      <c r="A996">
        <v>0</v>
      </c>
      <c r="B996" t="s">
        <v>1440</v>
      </c>
      <c r="C996" t="str">
        <f>"S59.9"</f>
        <v>S59.9</v>
      </c>
      <c r="D996" t="s">
        <v>996</v>
      </c>
    </row>
    <row r="997" spans="1:4" x14ac:dyDescent="0.55000000000000004">
      <c r="A997">
        <v>0</v>
      </c>
      <c r="B997" t="s">
        <v>1440</v>
      </c>
      <c r="C997" t="str">
        <f>"S60.0"</f>
        <v>S60.0</v>
      </c>
      <c r="D997" t="s">
        <v>997</v>
      </c>
    </row>
    <row r="998" spans="1:4" x14ac:dyDescent="0.55000000000000004">
      <c r="A998">
        <v>0</v>
      </c>
      <c r="B998" t="s">
        <v>1440</v>
      </c>
      <c r="C998" t="str">
        <f>"S60.1"</f>
        <v>S60.1</v>
      </c>
      <c r="D998" t="s">
        <v>998</v>
      </c>
    </row>
    <row r="999" spans="1:4" x14ac:dyDescent="0.55000000000000004">
      <c r="A999">
        <v>0</v>
      </c>
      <c r="B999" t="s">
        <v>1440</v>
      </c>
      <c r="C999" t="str">
        <f>"S60.2"</f>
        <v>S60.2</v>
      </c>
      <c r="D999" t="s">
        <v>999</v>
      </c>
    </row>
    <row r="1000" spans="1:4" x14ac:dyDescent="0.55000000000000004">
      <c r="A1000">
        <v>0</v>
      </c>
      <c r="B1000" t="s">
        <v>1440</v>
      </c>
      <c r="C1000" t="str">
        <f>"S60.7"</f>
        <v>S60.7</v>
      </c>
      <c r="D1000" t="s">
        <v>1000</v>
      </c>
    </row>
    <row r="1001" spans="1:4" x14ac:dyDescent="0.55000000000000004">
      <c r="A1001">
        <v>0</v>
      </c>
      <c r="B1001" t="s">
        <v>1440</v>
      </c>
      <c r="C1001" t="str">
        <f>"S60.8"</f>
        <v>S60.8</v>
      </c>
      <c r="D1001" t="s">
        <v>1001</v>
      </c>
    </row>
    <row r="1002" spans="1:4" x14ac:dyDescent="0.55000000000000004">
      <c r="A1002">
        <v>0</v>
      </c>
      <c r="B1002" t="s">
        <v>1440</v>
      </c>
      <c r="C1002" t="str">
        <f>"S60.80"</f>
        <v>S60.80</v>
      </c>
      <c r="D1002" t="s">
        <v>1002</v>
      </c>
    </row>
    <row r="1003" spans="1:4" x14ac:dyDescent="0.55000000000000004">
      <c r="A1003">
        <v>0</v>
      </c>
      <c r="B1003" t="s">
        <v>1440</v>
      </c>
      <c r="C1003" t="str">
        <f>"S60.81"</f>
        <v>S60.81</v>
      </c>
      <c r="D1003" t="s">
        <v>1003</v>
      </c>
    </row>
    <row r="1004" spans="1:4" x14ac:dyDescent="0.55000000000000004">
      <c r="A1004">
        <v>0</v>
      </c>
      <c r="B1004" t="s">
        <v>1440</v>
      </c>
      <c r="C1004" t="str">
        <f>"S60.82"</f>
        <v>S60.82</v>
      </c>
      <c r="D1004" t="s">
        <v>1004</v>
      </c>
    </row>
    <row r="1005" spans="1:4" x14ac:dyDescent="0.55000000000000004">
      <c r="A1005">
        <v>0</v>
      </c>
      <c r="B1005" t="s">
        <v>1440</v>
      </c>
      <c r="C1005" t="str">
        <f>"S60.83"</f>
        <v>S60.83</v>
      </c>
      <c r="D1005" t="s">
        <v>1005</v>
      </c>
    </row>
    <row r="1006" spans="1:4" x14ac:dyDescent="0.55000000000000004">
      <c r="A1006">
        <v>0</v>
      </c>
      <c r="B1006" t="s">
        <v>1440</v>
      </c>
      <c r="C1006" t="str">
        <f>"S60.88"</f>
        <v>S60.88</v>
      </c>
      <c r="D1006" t="s">
        <v>1006</v>
      </c>
    </row>
    <row r="1007" spans="1:4" x14ac:dyDescent="0.55000000000000004">
      <c r="A1007">
        <v>0</v>
      </c>
      <c r="B1007" t="s">
        <v>1440</v>
      </c>
      <c r="C1007" t="str">
        <f>"S60.9"</f>
        <v>S60.9</v>
      </c>
      <c r="D1007" t="s">
        <v>1007</v>
      </c>
    </row>
    <row r="1008" spans="1:4" x14ac:dyDescent="0.55000000000000004">
      <c r="A1008">
        <v>0</v>
      </c>
      <c r="B1008" t="s">
        <v>1440</v>
      </c>
      <c r="C1008" t="str">
        <f>"S61.0"</f>
        <v>S61.0</v>
      </c>
      <c r="D1008" t="s">
        <v>1008</v>
      </c>
    </row>
    <row r="1009" spans="1:4" x14ac:dyDescent="0.55000000000000004">
      <c r="A1009">
        <v>0</v>
      </c>
      <c r="B1009" t="s">
        <v>1440</v>
      </c>
      <c r="C1009" t="str">
        <f>"S61.1"</f>
        <v>S61.1</v>
      </c>
      <c r="D1009" t="s">
        <v>1009</v>
      </c>
    </row>
    <row r="1010" spans="1:4" x14ac:dyDescent="0.55000000000000004">
      <c r="A1010">
        <v>0</v>
      </c>
      <c r="B1010" t="s">
        <v>1440</v>
      </c>
      <c r="C1010" t="str">
        <f>"S61.7"</f>
        <v>S61.7</v>
      </c>
      <c r="D1010" t="s">
        <v>1010</v>
      </c>
    </row>
    <row r="1011" spans="1:4" x14ac:dyDescent="0.55000000000000004">
      <c r="A1011">
        <v>0</v>
      </c>
      <c r="B1011" t="s">
        <v>1440</v>
      </c>
      <c r="C1011" t="str">
        <f>"S61.8"</f>
        <v>S61.8</v>
      </c>
      <c r="D1011" t="s">
        <v>1011</v>
      </c>
    </row>
    <row r="1012" spans="1:4" x14ac:dyDescent="0.55000000000000004">
      <c r="A1012">
        <v>0</v>
      </c>
      <c r="B1012" t="s">
        <v>1440</v>
      </c>
      <c r="C1012" t="str">
        <f>"S61.9"</f>
        <v>S61.9</v>
      </c>
      <c r="D1012" t="s">
        <v>1012</v>
      </c>
    </row>
    <row r="1013" spans="1:4" x14ac:dyDescent="0.55000000000000004">
      <c r="A1013">
        <v>0</v>
      </c>
      <c r="B1013" t="s">
        <v>1440</v>
      </c>
      <c r="C1013" t="str">
        <f>"S62.0"</f>
        <v>S62.0</v>
      </c>
      <c r="D1013" t="s">
        <v>1013</v>
      </c>
    </row>
    <row r="1014" spans="1:4" x14ac:dyDescent="0.55000000000000004">
      <c r="A1014">
        <v>0</v>
      </c>
      <c r="B1014" t="s">
        <v>1440</v>
      </c>
      <c r="C1014" t="str">
        <f>"S62.00"</f>
        <v>S62.00</v>
      </c>
      <c r="D1014" t="s">
        <v>1014</v>
      </c>
    </row>
    <row r="1015" spans="1:4" x14ac:dyDescent="0.55000000000000004">
      <c r="A1015">
        <v>0</v>
      </c>
      <c r="B1015" t="s">
        <v>1440</v>
      </c>
      <c r="C1015" t="str">
        <f>"S62.01"</f>
        <v>S62.01</v>
      </c>
      <c r="D1015" t="s">
        <v>1015</v>
      </c>
    </row>
    <row r="1016" spans="1:4" x14ac:dyDescent="0.55000000000000004">
      <c r="A1016">
        <v>0</v>
      </c>
      <c r="B1016" t="s">
        <v>1440</v>
      </c>
      <c r="C1016" t="str">
        <f>"S62.1"</f>
        <v>S62.1</v>
      </c>
      <c r="D1016" t="s">
        <v>1016</v>
      </c>
    </row>
    <row r="1017" spans="1:4" x14ac:dyDescent="0.55000000000000004">
      <c r="A1017">
        <v>0</v>
      </c>
      <c r="B1017" t="s">
        <v>1440</v>
      </c>
      <c r="C1017" t="str">
        <f>"S62.10"</f>
        <v>S62.10</v>
      </c>
      <c r="D1017" t="s">
        <v>1017</v>
      </c>
    </row>
    <row r="1018" spans="1:4" x14ac:dyDescent="0.55000000000000004">
      <c r="A1018">
        <v>0</v>
      </c>
      <c r="B1018" t="s">
        <v>1440</v>
      </c>
      <c r="C1018" t="str">
        <f>"S62.100"</f>
        <v>S62.100</v>
      </c>
      <c r="D1018" t="s">
        <v>1018</v>
      </c>
    </row>
    <row r="1019" spans="1:4" x14ac:dyDescent="0.55000000000000004">
      <c r="A1019">
        <v>0</v>
      </c>
      <c r="B1019" t="s">
        <v>1440</v>
      </c>
      <c r="C1019" t="str">
        <f>"S62.101"</f>
        <v>S62.101</v>
      </c>
      <c r="D1019" t="s">
        <v>1019</v>
      </c>
    </row>
    <row r="1020" spans="1:4" x14ac:dyDescent="0.55000000000000004">
      <c r="A1020">
        <v>0</v>
      </c>
      <c r="B1020" t="s">
        <v>1440</v>
      </c>
      <c r="C1020" t="str">
        <f>"S62.11"</f>
        <v>S62.11</v>
      </c>
      <c r="D1020" t="s">
        <v>1020</v>
      </c>
    </row>
    <row r="1021" spans="1:4" x14ac:dyDescent="0.55000000000000004">
      <c r="A1021">
        <v>0</v>
      </c>
      <c r="B1021" t="s">
        <v>1440</v>
      </c>
      <c r="C1021" t="str">
        <f>"S62.110"</f>
        <v>S62.110</v>
      </c>
      <c r="D1021" t="s">
        <v>1021</v>
      </c>
    </row>
    <row r="1022" spans="1:4" x14ac:dyDescent="0.55000000000000004">
      <c r="A1022">
        <v>0</v>
      </c>
      <c r="B1022" t="s">
        <v>1440</v>
      </c>
      <c r="C1022" t="str">
        <f>"S62.111"</f>
        <v>S62.111</v>
      </c>
      <c r="D1022" t="s">
        <v>1022</v>
      </c>
    </row>
    <row r="1023" spans="1:4" x14ac:dyDescent="0.55000000000000004">
      <c r="A1023">
        <v>0</v>
      </c>
      <c r="B1023" t="s">
        <v>1440</v>
      </c>
      <c r="C1023" t="str">
        <f>"S62.120"</f>
        <v>S62.120</v>
      </c>
      <c r="D1023" t="s">
        <v>1023</v>
      </c>
    </row>
    <row r="1024" spans="1:4" x14ac:dyDescent="0.55000000000000004">
      <c r="A1024">
        <v>0</v>
      </c>
      <c r="B1024" t="s">
        <v>1440</v>
      </c>
      <c r="C1024" t="str">
        <f>"S62.121"</f>
        <v>S62.121</v>
      </c>
      <c r="D1024" t="s">
        <v>1024</v>
      </c>
    </row>
    <row r="1025" spans="1:4" x14ac:dyDescent="0.55000000000000004">
      <c r="A1025">
        <v>0</v>
      </c>
      <c r="B1025" t="s">
        <v>1440</v>
      </c>
      <c r="C1025" t="str">
        <f>"S62.130"</f>
        <v>S62.130</v>
      </c>
      <c r="D1025" t="s">
        <v>1025</v>
      </c>
    </row>
    <row r="1026" spans="1:4" x14ac:dyDescent="0.55000000000000004">
      <c r="A1026">
        <v>0</v>
      </c>
      <c r="B1026" t="s">
        <v>1440</v>
      </c>
      <c r="C1026" t="str">
        <f>"S62.131"</f>
        <v>S62.131</v>
      </c>
      <c r="D1026" t="s">
        <v>1026</v>
      </c>
    </row>
    <row r="1027" spans="1:4" x14ac:dyDescent="0.55000000000000004">
      <c r="A1027">
        <v>0</v>
      </c>
      <c r="B1027" t="s">
        <v>1440</v>
      </c>
      <c r="C1027" t="str">
        <f>"S62.140"</f>
        <v>S62.140</v>
      </c>
      <c r="D1027" t="s">
        <v>1027</v>
      </c>
    </row>
    <row r="1028" spans="1:4" x14ac:dyDescent="0.55000000000000004">
      <c r="A1028">
        <v>0</v>
      </c>
      <c r="B1028" t="s">
        <v>1440</v>
      </c>
      <c r="C1028" t="str">
        <f>"S62.141"</f>
        <v>S62.141</v>
      </c>
      <c r="D1028" t="s">
        <v>1028</v>
      </c>
    </row>
    <row r="1029" spans="1:4" x14ac:dyDescent="0.55000000000000004">
      <c r="A1029">
        <v>0</v>
      </c>
      <c r="B1029" t="s">
        <v>1440</v>
      </c>
      <c r="C1029" t="str">
        <f>"S62.150"</f>
        <v>S62.150</v>
      </c>
      <c r="D1029" t="s">
        <v>1029</v>
      </c>
    </row>
    <row r="1030" spans="1:4" x14ac:dyDescent="0.55000000000000004">
      <c r="A1030">
        <v>0</v>
      </c>
      <c r="B1030" t="s">
        <v>1440</v>
      </c>
      <c r="C1030" t="str">
        <f>"S62.151"</f>
        <v>S62.151</v>
      </c>
      <c r="D1030" t="s">
        <v>1030</v>
      </c>
    </row>
    <row r="1031" spans="1:4" x14ac:dyDescent="0.55000000000000004">
      <c r="A1031">
        <v>0</v>
      </c>
      <c r="B1031" t="s">
        <v>1440</v>
      </c>
      <c r="C1031" t="str">
        <f>"S62.160"</f>
        <v>S62.160</v>
      </c>
      <c r="D1031" t="s">
        <v>1031</v>
      </c>
    </row>
    <row r="1032" spans="1:4" x14ac:dyDescent="0.55000000000000004">
      <c r="A1032">
        <v>0</v>
      </c>
      <c r="B1032" t="s">
        <v>1440</v>
      </c>
      <c r="C1032" t="str">
        <f>"S62.161"</f>
        <v>S62.161</v>
      </c>
      <c r="D1032" t="s">
        <v>1032</v>
      </c>
    </row>
    <row r="1033" spans="1:4" x14ac:dyDescent="0.55000000000000004">
      <c r="A1033">
        <v>0</v>
      </c>
      <c r="B1033" t="s">
        <v>1440</v>
      </c>
      <c r="C1033" t="str">
        <f>"S62.170"</f>
        <v>S62.170</v>
      </c>
      <c r="D1033" t="s">
        <v>1033</v>
      </c>
    </row>
    <row r="1034" spans="1:4" x14ac:dyDescent="0.55000000000000004">
      <c r="A1034">
        <v>0</v>
      </c>
      <c r="B1034" t="s">
        <v>1440</v>
      </c>
      <c r="C1034" t="str">
        <f>"S62.171"</f>
        <v>S62.171</v>
      </c>
      <c r="D1034" t="s">
        <v>1034</v>
      </c>
    </row>
    <row r="1035" spans="1:4" x14ac:dyDescent="0.55000000000000004">
      <c r="A1035">
        <v>0</v>
      </c>
      <c r="B1035" t="s">
        <v>1440</v>
      </c>
      <c r="C1035" t="str">
        <f>"S62.190"</f>
        <v>S62.190</v>
      </c>
      <c r="D1035" t="s">
        <v>1035</v>
      </c>
    </row>
    <row r="1036" spans="1:4" x14ac:dyDescent="0.55000000000000004">
      <c r="A1036">
        <v>0</v>
      </c>
      <c r="B1036" t="s">
        <v>1440</v>
      </c>
      <c r="C1036" t="str">
        <f>"S62.191"</f>
        <v>S62.191</v>
      </c>
      <c r="D1036" t="s">
        <v>1036</v>
      </c>
    </row>
    <row r="1037" spans="1:4" x14ac:dyDescent="0.55000000000000004">
      <c r="A1037">
        <v>0</v>
      </c>
      <c r="B1037" t="s">
        <v>1440</v>
      </c>
      <c r="C1037" t="str">
        <f>"S62.2"</f>
        <v>S62.2</v>
      </c>
      <c r="D1037" t="s">
        <v>1037</v>
      </c>
    </row>
    <row r="1038" spans="1:4" x14ac:dyDescent="0.55000000000000004">
      <c r="A1038">
        <v>0</v>
      </c>
      <c r="B1038" t="s">
        <v>1440</v>
      </c>
      <c r="C1038" t="str">
        <f>"S62.20"</f>
        <v>S62.20</v>
      </c>
      <c r="D1038" t="s">
        <v>1038</v>
      </c>
    </row>
    <row r="1039" spans="1:4" x14ac:dyDescent="0.55000000000000004">
      <c r="A1039">
        <v>0</v>
      </c>
      <c r="B1039" t="s">
        <v>1440</v>
      </c>
      <c r="C1039" t="str">
        <f>"S62.21"</f>
        <v>S62.21</v>
      </c>
      <c r="D1039" t="s">
        <v>1039</v>
      </c>
    </row>
    <row r="1040" spans="1:4" x14ac:dyDescent="0.55000000000000004">
      <c r="A1040">
        <v>0</v>
      </c>
      <c r="B1040" t="s">
        <v>1440</v>
      </c>
      <c r="C1040" t="str">
        <f>"S62.3"</f>
        <v>S62.3</v>
      </c>
      <c r="D1040" t="s">
        <v>1040</v>
      </c>
    </row>
    <row r="1041" spans="1:4" x14ac:dyDescent="0.55000000000000004">
      <c r="A1041">
        <v>0</v>
      </c>
      <c r="B1041" t="s">
        <v>1440</v>
      </c>
      <c r="C1041" t="str">
        <f>"S62.30"</f>
        <v>S62.30</v>
      </c>
      <c r="D1041" t="s">
        <v>1041</v>
      </c>
    </row>
    <row r="1042" spans="1:4" x14ac:dyDescent="0.55000000000000004">
      <c r="A1042">
        <v>0</v>
      </c>
      <c r="B1042" t="s">
        <v>1440</v>
      </c>
      <c r="C1042" t="str">
        <f>"S62.31"</f>
        <v>S62.31</v>
      </c>
      <c r="D1042" t="s">
        <v>1042</v>
      </c>
    </row>
    <row r="1043" spans="1:4" x14ac:dyDescent="0.55000000000000004">
      <c r="A1043">
        <v>0</v>
      </c>
      <c r="B1043" t="s">
        <v>1440</v>
      </c>
      <c r="C1043" t="str">
        <f>"S62.4"</f>
        <v>S62.4</v>
      </c>
      <c r="D1043" t="s">
        <v>1043</v>
      </c>
    </row>
    <row r="1044" spans="1:4" x14ac:dyDescent="0.55000000000000004">
      <c r="A1044">
        <v>0</v>
      </c>
      <c r="B1044" t="s">
        <v>1440</v>
      </c>
      <c r="C1044" t="str">
        <f>"S62.40"</f>
        <v>S62.40</v>
      </c>
      <c r="D1044" t="s">
        <v>1044</v>
      </c>
    </row>
    <row r="1045" spans="1:4" x14ac:dyDescent="0.55000000000000004">
      <c r="A1045">
        <v>0</v>
      </c>
      <c r="B1045" t="s">
        <v>1440</v>
      </c>
      <c r="C1045" t="str">
        <f>"S62.41"</f>
        <v>S62.41</v>
      </c>
      <c r="D1045" t="s">
        <v>1045</v>
      </c>
    </row>
    <row r="1046" spans="1:4" x14ac:dyDescent="0.55000000000000004">
      <c r="A1046">
        <v>0</v>
      </c>
      <c r="B1046" t="s">
        <v>1440</v>
      </c>
      <c r="C1046" t="str">
        <f>"S62.5"</f>
        <v>S62.5</v>
      </c>
      <c r="D1046" t="s">
        <v>1046</v>
      </c>
    </row>
    <row r="1047" spans="1:4" x14ac:dyDescent="0.55000000000000004">
      <c r="A1047">
        <v>0</v>
      </c>
      <c r="B1047" t="s">
        <v>1440</v>
      </c>
      <c r="C1047" t="str">
        <f>"S62.50"</f>
        <v>S62.50</v>
      </c>
      <c r="D1047" t="s">
        <v>1047</v>
      </c>
    </row>
    <row r="1048" spans="1:4" x14ac:dyDescent="0.55000000000000004">
      <c r="A1048">
        <v>0</v>
      </c>
      <c r="B1048" t="s">
        <v>1440</v>
      </c>
      <c r="C1048" t="str">
        <f>"S62.51"</f>
        <v>S62.51</v>
      </c>
      <c r="D1048" t="s">
        <v>1048</v>
      </c>
    </row>
    <row r="1049" spans="1:4" x14ac:dyDescent="0.55000000000000004">
      <c r="A1049">
        <v>0</v>
      </c>
      <c r="B1049" t="s">
        <v>1440</v>
      </c>
      <c r="C1049" t="str">
        <f>"S62.6"</f>
        <v>S62.6</v>
      </c>
      <c r="D1049" t="s">
        <v>1049</v>
      </c>
    </row>
    <row r="1050" spans="1:4" x14ac:dyDescent="0.55000000000000004">
      <c r="A1050">
        <v>0</v>
      </c>
      <c r="B1050" t="s">
        <v>1440</v>
      </c>
      <c r="C1050" t="str">
        <f>"S62.60"</f>
        <v>S62.60</v>
      </c>
      <c r="D1050" t="s">
        <v>1050</v>
      </c>
    </row>
    <row r="1051" spans="1:4" x14ac:dyDescent="0.55000000000000004">
      <c r="A1051">
        <v>0</v>
      </c>
      <c r="B1051" t="s">
        <v>1440</v>
      </c>
      <c r="C1051" t="str">
        <f>"S62.61"</f>
        <v>S62.61</v>
      </c>
      <c r="D1051" t="s">
        <v>1051</v>
      </c>
    </row>
    <row r="1052" spans="1:4" x14ac:dyDescent="0.55000000000000004">
      <c r="A1052">
        <v>0</v>
      </c>
      <c r="B1052" t="s">
        <v>1440</v>
      </c>
      <c r="C1052" t="str">
        <f>"S62.7"</f>
        <v>S62.7</v>
      </c>
      <c r="D1052" t="s">
        <v>1052</v>
      </c>
    </row>
    <row r="1053" spans="1:4" x14ac:dyDescent="0.55000000000000004">
      <c r="A1053">
        <v>0</v>
      </c>
      <c r="B1053" t="s">
        <v>1440</v>
      </c>
      <c r="C1053" t="str">
        <f>"S62.70"</f>
        <v>S62.70</v>
      </c>
      <c r="D1053" t="s">
        <v>1053</v>
      </c>
    </row>
    <row r="1054" spans="1:4" x14ac:dyDescent="0.55000000000000004">
      <c r="A1054">
        <v>0</v>
      </c>
      <c r="B1054" t="s">
        <v>1440</v>
      </c>
      <c r="C1054" t="str">
        <f>"S62.71"</f>
        <v>S62.71</v>
      </c>
      <c r="D1054" t="s">
        <v>1054</v>
      </c>
    </row>
    <row r="1055" spans="1:4" x14ac:dyDescent="0.55000000000000004">
      <c r="A1055">
        <v>0</v>
      </c>
      <c r="B1055" t="s">
        <v>1440</v>
      </c>
      <c r="C1055" t="str">
        <f>"S62.8"</f>
        <v>S62.8</v>
      </c>
      <c r="D1055" t="s">
        <v>1055</v>
      </c>
    </row>
    <row r="1056" spans="1:4" x14ac:dyDescent="0.55000000000000004">
      <c r="A1056">
        <v>0</v>
      </c>
      <c r="B1056" t="s">
        <v>1440</v>
      </c>
      <c r="C1056" t="str">
        <f>"S62.80"</f>
        <v>S62.80</v>
      </c>
      <c r="D1056" t="s">
        <v>1056</v>
      </c>
    </row>
    <row r="1057" spans="1:4" x14ac:dyDescent="0.55000000000000004">
      <c r="A1057">
        <v>0</v>
      </c>
      <c r="B1057" t="s">
        <v>1440</v>
      </c>
      <c r="C1057" t="str">
        <f>"S62.81"</f>
        <v>S62.81</v>
      </c>
      <c r="D1057" t="s">
        <v>1057</v>
      </c>
    </row>
    <row r="1058" spans="1:4" x14ac:dyDescent="0.55000000000000004">
      <c r="A1058">
        <v>0</v>
      </c>
      <c r="B1058" t="s">
        <v>1440</v>
      </c>
      <c r="C1058" t="str">
        <f>"S63.0"</f>
        <v>S63.0</v>
      </c>
      <c r="D1058" t="s">
        <v>1058</v>
      </c>
    </row>
    <row r="1059" spans="1:4" x14ac:dyDescent="0.55000000000000004">
      <c r="A1059">
        <v>0</v>
      </c>
      <c r="B1059" t="s">
        <v>1440</v>
      </c>
      <c r="C1059" t="str">
        <f>"S63.00"</f>
        <v>S63.00</v>
      </c>
      <c r="D1059" t="s">
        <v>1059</v>
      </c>
    </row>
    <row r="1060" spans="1:4" x14ac:dyDescent="0.55000000000000004">
      <c r="A1060">
        <v>0</v>
      </c>
      <c r="B1060" t="s">
        <v>1440</v>
      </c>
      <c r="C1060" t="str">
        <f>"S63.01"</f>
        <v>S63.01</v>
      </c>
      <c r="D1060" t="s">
        <v>1060</v>
      </c>
    </row>
    <row r="1061" spans="1:4" x14ac:dyDescent="0.55000000000000004">
      <c r="A1061">
        <v>0</v>
      </c>
      <c r="B1061" t="s">
        <v>1440</v>
      </c>
      <c r="C1061" t="str">
        <f>"S63.02"</f>
        <v>S63.02</v>
      </c>
      <c r="D1061" t="s">
        <v>1061</v>
      </c>
    </row>
    <row r="1062" spans="1:4" x14ac:dyDescent="0.55000000000000004">
      <c r="A1062">
        <v>0</v>
      </c>
      <c r="B1062" t="s">
        <v>1440</v>
      </c>
      <c r="C1062" t="str">
        <f>"S63.03"</f>
        <v>S63.03</v>
      </c>
      <c r="D1062" t="s">
        <v>1062</v>
      </c>
    </row>
    <row r="1063" spans="1:4" x14ac:dyDescent="0.55000000000000004">
      <c r="A1063">
        <v>0</v>
      </c>
      <c r="B1063" t="s">
        <v>1440</v>
      </c>
      <c r="C1063" t="str">
        <f>"S63.08"</f>
        <v>S63.08</v>
      </c>
      <c r="D1063" t="s">
        <v>1063</v>
      </c>
    </row>
    <row r="1064" spans="1:4" x14ac:dyDescent="0.55000000000000004">
      <c r="A1064">
        <v>0</v>
      </c>
      <c r="B1064" t="s">
        <v>1440</v>
      </c>
      <c r="C1064" t="str">
        <f>"S63.09"</f>
        <v>S63.09</v>
      </c>
      <c r="D1064" t="s">
        <v>1064</v>
      </c>
    </row>
    <row r="1065" spans="1:4" x14ac:dyDescent="0.55000000000000004">
      <c r="A1065">
        <v>0</v>
      </c>
      <c r="B1065" t="s">
        <v>1440</v>
      </c>
      <c r="C1065" t="str">
        <f>"S63.1"</f>
        <v>S63.1</v>
      </c>
      <c r="D1065" t="s">
        <v>1065</v>
      </c>
    </row>
    <row r="1066" spans="1:4" x14ac:dyDescent="0.55000000000000004">
      <c r="A1066">
        <v>0</v>
      </c>
      <c r="B1066" t="s">
        <v>1440</v>
      </c>
      <c r="C1066" t="str">
        <f>"S63.10"</f>
        <v>S63.10</v>
      </c>
      <c r="D1066" t="s">
        <v>1066</v>
      </c>
    </row>
    <row r="1067" spans="1:4" x14ac:dyDescent="0.55000000000000004">
      <c r="A1067">
        <v>0</v>
      </c>
      <c r="B1067" t="s">
        <v>1440</v>
      </c>
      <c r="C1067" t="str">
        <f>"S63.11"</f>
        <v>S63.11</v>
      </c>
      <c r="D1067" t="s">
        <v>1067</v>
      </c>
    </row>
    <row r="1068" spans="1:4" x14ac:dyDescent="0.55000000000000004">
      <c r="A1068">
        <v>0</v>
      </c>
      <c r="B1068" t="s">
        <v>1440</v>
      </c>
      <c r="C1068" t="str">
        <f>"S63.19"</f>
        <v>S63.19</v>
      </c>
      <c r="D1068" t="s">
        <v>1068</v>
      </c>
    </row>
    <row r="1069" spans="1:4" x14ac:dyDescent="0.55000000000000004">
      <c r="A1069">
        <v>0</v>
      </c>
      <c r="B1069" t="s">
        <v>1440</v>
      </c>
      <c r="C1069" t="str">
        <f>"S63.2"</f>
        <v>S63.2</v>
      </c>
      <c r="D1069" t="s">
        <v>1069</v>
      </c>
    </row>
    <row r="1070" spans="1:4" x14ac:dyDescent="0.55000000000000004">
      <c r="A1070">
        <v>0</v>
      </c>
      <c r="B1070" t="s">
        <v>1440</v>
      </c>
      <c r="C1070" t="str">
        <f>"S63.3"</f>
        <v>S63.3</v>
      </c>
      <c r="D1070" t="s">
        <v>1070</v>
      </c>
    </row>
    <row r="1071" spans="1:4" x14ac:dyDescent="0.55000000000000004">
      <c r="A1071">
        <v>0</v>
      </c>
      <c r="B1071" t="s">
        <v>1440</v>
      </c>
      <c r="C1071" t="str">
        <f>"S63.4"</f>
        <v>S63.4</v>
      </c>
      <c r="D1071" t="s">
        <v>1071</v>
      </c>
    </row>
    <row r="1072" spans="1:4" x14ac:dyDescent="0.55000000000000004">
      <c r="A1072">
        <v>0</v>
      </c>
      <c r="B1072" t="s">
        <v>1440</v>
      </c>
      <c r="C1072" t="str">
        <f>"S63.5"</f>
        <v>S63.5</v>
      </c>
      <c r="D1072" t="s">
        <v>1072</v>
      </c>
    </row>
    <row r="1073" spans="1:4" x14ac:dyDescent="0.55000000000000004">
      <c r="A1073">
        <v>0</v>
      </c>
      <c r="B1073" t="s">
        <v>1440</v>
      </c>
      <c r="C1073" t="str">
        <f>"S63.6"</f>
        <v>S63.6</v>
      </c>
      <c r="D1073" t="s">
        <v>1073</v>
      </c>
    </row>
    <row r="1074" spans="1:4" x14ac:dyDescent="0.55000000000000004">
      <c r="A1074">
        <v>0</v>
      </c>
      <c r="B1074" t="s">
        <v>1440</v>
      </c>
      <c r="C1074" t="str">
        <f>"S63.7"</f>
        <v>S63.7</v>
      </c>
      <c r="D1074" t="s">
        <v>1074</v>
      </c>
    </row>
    <row r="1075" spans="1:4" x14ac:dyDescent="0.55000000000000004">
      <c r="A1075">
        <v>0</v>
      </c>
      <c r="B1075" t="s">
        <v>1440</v>
      </c>
      <c r="C1075" t="str">
        <f>"S64.3"</f>
        <v>S64.3</v>
      </c>
      <c r="D1075" t="s">
        <v>1075</v>
      </c>
    </row>
    <row r="1076" spans="1:4" x14ac:dyDescent="0.55000000000000004">
      <c r="A1076">
        <v>0</v>
      </c>
      <c r="B1076" t="s">
        <v>1440</v>
      </c>
      <c r="C1076" t="str">
        <f>"S64.4"</f>
        <v>S64.4</v>
      </c>
      <c r="D1076" t="s">
        <v>1076</v>
      </c>
    </row>
    <row r="1077" spans="1:4" x14ac:dyDescent="0.55000000000000004">
      <c r="A1077">
        <v>0</v>
      </c>
      <c r="B1077" t="s">
        <v>1440</v>
      </c>
      <c r="C1077" t="str">
        <f>"S64.7"</f>
        <v>S64.7</v>
      </c>
      <c r="D1077" t="s">
        <v>1077</v>
      </c>
    </row>
    <row r="1078" spans="1:4" x14ac:dyDescent="0.55000000000000004">
      <c r="A1078">
        <v>0</v>
      </c>
      <c r="B1078" t="s">
        <v>1440</v>
      </c>
      <c r="C1078" t="str">
        <f>"S64.8"</f>
        <v>S64.8</v>
      </c>
      <c r="D1078" t="s">
        <v>1078</v>
      </c>
    </row>
    <row r="1079" spans="1:4" x14ac:dyDescent="0.55000000000000004">
      <c r="A1079">
        <v>0</v>
      </c>
      <c r="B1079" t="s">
        <v>1440</v>
      </c>
      <c r="C1079" t="str">
        <f>"S64.9"</f>
        <v>S64.9</v>
      </c>
      <c r="D1079" t="s">
        <v>1079</v>
      </c>
    </row>
    <row r="1080" spans="1:4" x14ac:dyDescent="0.55000000000000004">
      <c r="A1080">
        <v>0</v>
      </c>
      <c r="B1080" t="s">
        <v>1440</v>
      </c>
      <c r="C1080" t="str">
        <f>"S65.2"</f>
        <v>S65.2</v>
      </c>
      <c r="D1080" t="s">
        <v>1080</v>
      </c>
    </row>
    <row r="1081" spans="1:4" x14ac:dyDescent="0.55000000000000004">
      <c r="A1081">
        <v>0</v>
      </c>
      <c r="B1081" t="s">
        <v>1440</v>
      </c>
      <c r="C1081" t="str">
        <f>"S65.3"</f>
        <v>S65.3</v>
      </c>
      <c r="D1081" t="s">
        <v>1081</v>
      </c>
    </row>
    <row r="1082" spans="1:4" x14ac:dyDescent="0.55000000000000004">
      <c r="A1082">
        <v>0</v>
      </c>
      <c r="B1082" t="s">
        <v>1440</v>
      </c>
      <c r="C1082" t="str">
        <f>"S65.4"</f>
        <v>S65.4</v>
      </c>
      <c r="D1082" t="s">
        <v>1082</v>
      </c>
    </row>
    <row r="1083" spans="1:4" x14ac:dyDescent="0.55000000000000004">
      <c r="A1083">
        <v>0</v>
      </c>
      <c r="B1083" t="s">
        <v>1440</v>
      </c>
      <c r="C1083" t="str">
        <f>"S65.5"</f>
        <v>S65.5</v>
      </c>
      <c r="D1083" t="s">
        <v>1083</v>
      </c>
    </row>
    <row r="1084" spans="1:4" x14ac:dyDescent="0.55000000000000004">
      <c r="A1084">
        <v>0</v>
      </c>
      <c r="B1084" t="s">
        <v>1440</v>
      </c>
      <c r="C1084" t="str">
        <f>"S65.7"</f>
        <v>S65.7</v>
      </c>
      <c r="D1084" t="s">
        <v>1084</v>
      </c>
    </row>
    <row r="1085" spans="1:4" x14ac:dyDescent="0.55000000000000004">
      <c r="A1085">
        <v>0</v>
      </c>
      <c r="B1085" t="s">
        <v>1440</v>
      </c>
      <c r="C1085" t="str">
        <f>"S65.8"</f>
        <v>S65.8</v>
      </c>
      <c r="D1085" t="s">
        <v>1085</v>
      </c>
    </row>
    <row r="1086" spans="1:4" x14ac:dyDescent="0.55000000000000004">
      <c r="A1086">
        <v>0</v>
      </c>
      <c r="B1086" t="s">
        <v>1440</v>
      </c>
      <c r="C1086" t="str">
        <f>"S65.9"</f>
        <v>S65.9</v>
      </c>
      <c r="D1086" t="s">
        <v>1086</v>
      </c>
    </row>
    <row r="1087" spans="1:4" x14ac:dyDescent="0.55000000000000004">
      <c r="A1087">
        <v>0</v>
      </c>
      <c r="B1087" t="s">
        <v>1440</v>
      </c>
      <c r="C1087" t="str">
        <f>"S66.0"</f>
        <v>S66.0</v>
      </c>
      <c r="D1087" t="s">
        <v>1087</v>
      </c>
    </row>
    <row r="1088" spans="1:4" x14ac:dyDescent="0.55000000000000004">
      <c r="A1088">
        <v>0</v>
      </c>
      <c r="B1088" t="s">
        <v>1440</v>
      </c>
      <c r="C1088" t="str">
        <f>"S66.1"</f>
        <v>S66.1</v>
      </c>
      <c r="D1088" t="s">
        <v>1088</v>
      </c>
    </row>
    <row r="1089" spans="1:4" x14ac:dyDescent="0.55000000000000004">
      <c r="A1089">
        <v>0</v>
      </c>
      <c r="B1089" t="s">
        <v>1440</v>
      </c>
      <c r="C1089" t="str">
        <f>"S66.2"</f>
        <v>S66.2</v>
      </c>
      <c r="D1089" t="s">
        <v>1089</v>
      </c>
    </row>
    <row r="1090" spans="1:4" x14ac:dyDescent="0.55000000000000004">
      <c r="A1090">
        <v>0</v>
      </c>
      <c r="B1090" t="s">
        <v>1440</v>
      </c>
      <c r="C1090" t="str">
        <f>"S66.3"</f>
        <v>S66.3</v>
      </c>
      <c r="D1090" t="s">
        <v>1090</v>
      </c>
    </row>
    <row r="1091" spans="1:4" x14ac:dyDescent="0.55000000000000004">
      <c r="A1091">
        <v>0</v>
      </c>
      <c r="B1091" t="s">
        <v>1440</v>
      </c>
      <c r="C1091" t="str">
        <f>"S66.4"</f>
        <v>S66.4</v>
      </c>
      <c r="D1091" t="s">
        <v>1091</v>
      </c>
    </row>
    <row r="1092" spans="1:4" x14ac:dyDescent="0.55000000000000004">
      <c r="A1092">
        <v>0</v>
      </c>
      <c r="B1092" t="s">
        <v>1440</v>
      </c>
      <c r="C1092" t="str">
        <f>"S66.5"</f>
        <v>S66.5</v>
      </c>
      <c r="D1092" t="s">
        <v>1092</v>
      </c>
    </row>
    <row r="1093" spans="1:4" x14ac:dyDescent="0.55000000000000004">
      <c r="A1093">
        <v>0</v>
      </c>
      <c r="B1093" t="s">
        <v>1440</v>
      </c>
      <c r="C1093" t="str">
        <f>"S66.6"</f>
        <v>S66.6</v>
      </c>
      <c r="D1093" t="s">
        <v>1093</v>
      </c>
    </row>
    <row r="1094" spans="1:4" x14ac:dyDescent="0.55000000000000004">
      <c r="A1094">
        <v>0</v>
      </c>
      <c r="B1094" t="s">
        <v>1440</v>
      </c>
      <c r="C1094" t="str">
        <f>"S66.7"</f>
        <v>S66.7</v>
      </c>
      <c r="D1094" t="s">
        <v>1094</v>
      </c>
    </row>
    <row r="1095" spans="1:4" x14ac:dyDescent="0.55000000000000004">
      <c r="A1095">
        <v>0</v>
      </c>
      <c r="B1095" t="s">
        <v>1440</v>
      </c>
      <c r="C1095" t="str">
        <f>"S66.8"</f>
        <v>S66.8</v>
      </c>
      <c r="D1095" t="s">
        <v>1095</v>
      </c>
    </row>
    <row r="1096" spans="1:4" x14ac:dyDescent="0.55000000000000004">
      <c r="A1096">
        <v>0</v>
      </c>
      <c r="B1096" t="s">
        <v>1440</v>
      </c>
      <c r="C1096" t="str">
        <f>"S66.9"</f>
        <v>S66.9</v>
      </c>
      <c r="D1096" t="s">
        <v>1096</v>
      </c>
    </row>
    <row r="1097" spans="1:4" x14ac:dyDescent="0.55000000000000004">
      <c r="A1097">
        <v>0</v>
      </c>
      <c r="B1097" t="s">
        <v>1440</v>
      </c>
      <c r="C1097" t="str">
        <f>"S67.0"</f>
        <v>S67.0</v>
      </c>
      <c r="D1097" t="s">
        <v>1097</v>
      </c>
    </row>
    <row r="1098" spans="1:4" x14ac:dyDescent="0.55000000000000004">
      <c r="A1098">
        <v>0</v>
      </c>
      <c r="B1098" t="s">
        <v>1440</v>
      </c>
      <c r="C1098" t="str">
        <f>"S67.8"</f>
        <v>S67.8</v>
      </c>
      <c r="D1098" t="s">
        <v>1098</v>
      </c>
    </row>
    <row r="1099" spans="1:4" x14ac:dyDescent="0.55000000000000004">
      <c r="A1099">
        <v>0</v>
      </c>
      <c r="B1099" t="s">
        <v>1440</v>
      </c>
      <c r="C1099" t="str">
        <f>"S68.0"</f>
        <v>S68.0</v>
      </c>
      <c r="D1099" t="s">
        <v>1099</v>
      </c>
    </row>
    <row r="1100" spans="1:4" x14ac:dyDescent="0.55000000000000004">
      <c r="A1100">
        <v>0</v>
      </c>
      <c r="B1100" t="s">
        <v>1440</v>
      </c>
      <c r="C1100" t="str">
        <f>"S68.1"</f>
        <v>S68.1</v>
      </c>
      <c r="D1100" t="s">
        <v>1100</v>
      </c>
    </row>
    <row r="1101" spans="1:4" x14ac:dyDescent="0.55000000000000004">
      <c r="A1101">
        <v>0</v>
      </c>
      <c r="B1101" t="s">
        <v>1440</v>
      </c>
      <c r="C1101" t="str">
        <f>"S68.2"</f>
        <v>S68.2</v>
      </c>
      <c r="D1101" t="s">
        <v>1101</v>
      </c>
    </row>
    <row r="1102" spans="1:4" x14ac:dyDescent="0.55000000000000004">
      <c r="A1102">
        <v>0</v>
      </c>
      <c r="B1102" t="s">
        <v>1440</v>
      </c>
      <c r="C1102" t="str">
        <f>"S69.7"</f>
        <v>S69.7</v>
      </c>
      <c r="D1102" t="s">
        <v>1102</v>
      </c>
    </row>
    <row r="1103" spans="1:4" x14ac:dyDescent="0.55000000000000004">
      <c r="A1103">
        <v>0</v>
      </c>
      <c r="B1103" t="s">
        <v>1440</v>
      </c>
      <c r="C1103" t="str">
        <f>"S69.8"</f>
        <v>S69.8</v>
      </c>
      <c r="D1103" t="s">
        <v>1103</v>
      </c>
    </row>
    <row r="1104" spans="1:4" x14ac:dyDescent="0.55000000000000004">
      <c r="A1104">
        <v>0</v>
      </c>
      <c r="B1104" t="s">
        <v>1440</v>
      </c>
      <c r="C1104" t="str">
        <f>"S69.9"</f>
        <v>S69.9</v>
      </c>
      <c r="D1104" t="s">
        <v>1104</v>
      </c>
    </row>
    <row r="1105" spans="1:4" x14ac:dyDescent="0.55000000000000004">
      <c r="A1105">
        <v>0</v>
      </c>
      <c r="B1105" t="s">
        <v>1440</v>
      </c>
      <c r="C1105" t="str">
        <f>"S70.0"</f>
        <v>S70.0</v>
      </c>
      <c r="D1105" t="s">
        <v>1105</v>
      </c>
    </row>
    <row r="1106" spans="1:4" x14ac:dyDescent="0.55000000000000004">
      <c r="A1106">
        <v>0</v>
      </c>
      <c r="B1106" t="s">
        <v>1440</v>
      </c>
      <c r="C1106" t="str">
        <f>"S70.1"</f>
        <v>S70.1</v>
      </c>
      <c r="D1106" t="s">
        <v>1106</v>
      </c>
    </row>
    <row r="1107" spans="1:4" x14ac:dyDescent="0.55000000000000004">
      <c r="A1107">
        <v>0</v>
      </c>
      <c r="B1107" t="s">
        <v>1440</v>
      </c>
      <c r="C1107" t="str">
        <f>"S70.7"</f>
        <v>S70.7</v>
      </c>
      <c r="D1107" t="s">
        <v>1107</v>
      </c>
    </row>
    <row r="1108" spans="1:4" x14ac:dyDescent="0.55000000000000004">
      <c r="A1108">
        <v>0</v>
      </c>
      <c r="B1108" t="s">
        <v>1440</v>
      </c>
      <c r="C1108" t="str">
        <f>"S70.8"</f>
        <v>S70.8</v>
      </c>
      <c r="D1108" t="s">
        <v>1108</v>
      </c>
    </row>
    <row r="1109" spans="1:4" x14ac:dyDescent="0.55000000000000004">
      <c r="A1109">
        <v>0</v>
      </c>
      <c r="B1109" t="s">
        <v>1440</v>
      </c>
      <c r="C1109" t="str">
        <f>"S70.80"</f>
        <v>S70.80</v>
      </c>
      <c r="D1109" t="s">
        <v>1109</v>
      </c>
    </row>
    <row r="1110" spans="1:4" x14ac:dyDescent="0.55000000000000004">
      <c r="A1110">
        <v>0</v>
      </c>
      <c r="B1110" t="s">
        <v>1440</v>
      </c>
      <c r="C1110" t="str">
        <f>"S70.81"</f>
        <v>S70.81</v>
      </c>
      <c r="D1110" t="s">
        <v>1110</v>
      </c>
    </row>
    <row r="1111" spans="1:4" x14ac:dyDescent="0.55000000000000004">
      <c r="A1111">
        <v>0</v>
      </c>
      <c r="B1111" t="s">
        <v>1440</v>
      </c>
      <c r="C1111" t="str">
        <f>"S70.82"</f>
        <v>S70.82</v>
      </c>
      <c r="D1111" t="s">
        <v>1111</v>
      </c>
    </row>
    <row r="1112" spans="1:4" x14ac:dyDescent="0.55000000000000004">
      <c r="A1112">
        <v>0</v>
      </c>
      <c r="B1112" t="s">
        <v>1440</v>
      </c>
      <c r="C1112" t="str">
        <f>"S70.83"</f>
        <v>S70.83</v>
      </c>
      <c r="D1112" t="s">
        <v>1112</v>
      </c>
    </row>
    <row r="1113" spans="1:4" x14ac:dyDescent="0.55000000000000004">
      <c r="A1113">
        <v>0</v>
      </c>
      <c r="B1113" t="s">
        <v>1440</v>
      </c>
      <c r="C1113" t="str">
        <f>"S70.88"</f>
        <v>S70.88</v>
      </c>
      <c r="D1113" t="s">
        <v>1113</v>
      </c>
    </row>
    <row r="1114" spans="1:4" x14ac:dyDescent="0.55000000000000004">
      <c r="A1114">
        <v>0</v>
      </c>
      <c r="B1114" t="s">
        <v>1440</v>
      </c>
      <c r="C1114" t="str">
        <f>"S70.9"</f>
        <v>S70.9</v>
      </c>
      <c r="D1114" t="s">
        <v>1114</v>
      </c>
    </row>
    <row r="1115" spans="1:4" x14ac:dyDescent="0.55000000000000004">
      <c r="A1115">
        <v>0</v>
      </c>
      <c r="B1115" t="s">
        <v>1440</v>
      </c>
      <c r="C1115" t="str">
        <f>"S71.0"</f>
        <v>S71.0</v>
      </c>
      <c r="D1115" t="s">
        <v>1115</v>
      </c>
    </row>
    <row r="1116" spans="1:4" x14ac:dyDescent="0.55000000000000004">
      <c r="A1116">
        <v>0</v>
      </c>
      <c r="B1116" t="s">
        <v>1440</v>
      </c>
      <c r="C1116" t="str">
        <f>"S71.1"</f>
        <v>S71.1</v>
      </c>
      <c r="D1116" t="s">
        <v>1116</v>
      </c>
    </row>
    <row r="1117" spans="1:4" x14ac:dyDescent="0.55000000000000004">
      <c r="A1117">
        <v>0</v>
      </c>
      <c r="B1117" t="s">
        <v>1440</v>
      </c>
      <c r="C1117" t="str">
        <f>"S71.7"</f>
        <v>S71.7</v>
      </c>
      <c r="D1117" t="s">
        <v>1117</v>
      </c>
    </row>
    <row r="1118" spans="1:4" x14ac:dyDescent="0.55000000000000004">
      <c r="A1118">
        <v>0</v>
      </c>
      <c r="B1118" t="s">
        <v>1440</v>
      </c>
      <c r="C1118" t="str">
        <f>"S71.8"</f>
        <v>S71.8</v>
      </c>
      <c r="D1118" t="s">
        <v>1118</v>
      </c>
    </row>
    <row r="1119" spans="1:4" x14ac:dyDescent="0.55000000000000004">
      <c r="A1119">
        <v>0</v>
      </c>
      <c r="B1119" t="s">
        <v>1440</v>
      </c>
      <c r="C1119" t="str">
        <f>"S73.0"</f>
        <v>S73.0</v>
      </c>
      <c r="D1119" t="s">
        <v>1119</v>
      </c>
    </row>
    <row r="1120" spans="1:4" x14ac:dyDescent="0.55000000000000004">
      <c r="A1120">
        <v>0</v>
      </c>
      <c r="B1120" t="s">
        <v>1440</v>
      </c>
      <c r="C1120" t="str">
        <f>"S73.00"</f>
        <v>S73.00</v>
      </c>
      <c r="D1120" t="s">
        <v>1120</v>
      </c>
    </row>
    <row r="1121" spans="1:4" x14ac:dyDescent="0.55000000000000004">
      <c r="A1121">
        <v>0</v>
      </c>
      <c r="B1121" t="s">
        <v>1440</v>
      </c>
      <c r="C1121" t="str">
        <f>"S73.01"</f>
        <v>S73.01</v>
      </c>
      <c r="D1121" t="s">
        <v>1121</v>
      </c>
    </row>
    <row r="1122" spans="1:4" x14ac:dyDescent="0.55000000000000004">
      <c r="A1122">
        <v>0</v>
      </c>
      <c r="B1122" t="s">
        <v>1440</v>
      </c>
      <c r="C1122" t="str">
        <f>"S73.02"</f>
        <v>S73.02</v>
      </c>
      <c r="D1122" t="s">
        <v>1122</v>
      </c>
    </row>
    <row r="1123" spans="1:4" x14ac:dyDescent="0.55000000000000004">
      <c r="A1123">
        <v>0</v>
      </c>
      <c r="B1123" t="s">
        <v>1440</v>
      </c>
      <c r="C1123" t="str">
        <f>"S73.03"</f>
        <v>S73.03</v>
      </c>
      <c r="D1123" t="s">
        <v>1123</v>
      </c>
    </row>
    <row r="1124" spans="1:4" x14ac:dyDescent="0.55000000000000004">
      <c r="A1124">
        <v>0</v>
      </c>
      <c r="B1124" t="s">
        <v>1440</v>
      </c>
      <c r="C1124" t="str">
        <f>"S73.04"</f>
        <v>S73.04</v>
      </c>
      <c r="D1124" t="s">
        <v>1124</v>
      </c>
    </row>
    <row r="1125" spans="1:4" x14ac:dyDescent="0.55000000000000004">
      <c r="A1125">
        <v>0</v>
      </c>
      <c r="B1125" t="s">
        <v>1440</v>
      </c>
      <c r="C1125" t="str">
        <f>"S73.05"</f>
        <v>S73.05</v>
      </c>
      <c r="D1125" t="s">
        <v>1125</v>
      </c>
    </row>
    <row r="1126" spans="1:4" x14ac:dyDescent="0.55000000000000004">
      <c r="A1126">
        <v>0</v>
      </c>
      <c r="B1126" t="s">
        <v>1440</v>
      </c>
      <c r="C1126" t="str">
        <f>"S73.08"</f>
        <v>S73.08</v>
      </c>
      <c r="D1126" t="s">
        <v>1126</v>
      </c>
    </row>
    <row r="1127" spans="1:4" x14ac:dyDescent="0.55000000000000004">
      <c r="A1127">
        <v>0</v>
      </c>
      <c r="B1127" t="s">
        <v>1440</v>
      </c>
      <c r="C1127" t="str">
        <f>"S73.09"</f>
        <v>S73.09</v>
      </c>
      <c r="D1127" t="s">
        <v>1127</v>
      </c>
    </row>
    <row r="1128" spans="1:4" x14ac:dyDescent="0.55000000000000004">
      <c r="A1128">
        <v>0</v>
      </c>
      <c r="B1128" t="s">
        <v>1440</v>
      </c>
      <c r="C1128" t="str">
        <f>"S73.1"</f>
        <v>S73.1</v>
      </c>
      <c r="D1128" t="s">
        <v>1128</v>
      </c>
    </row>
    <row r="1129" spans="1:4" x14ac:dyDescent="0.55000000000000004">
      <c r="A1129">
        <v>0</v>
      </c>
      <c r="B1129" t="s">
        <v>1440</v>
      </c>
      <c r="C1129" t="str">
        <f>"S74.2"</f>
        <v>S74.2</v>
      </c>
      <c r="D1129" t="s">
        <v>1129</v>
      </c>
    </row>
    <row r="1130" spans="1:4" x14ac:dyDescent="0.55000000000000004">
      <c r="A1130">
        <v>0</v>
      </c>
      <c r="B1130" t="s">
        <v>1440</v>
      </c>
      <c r="C1130" t="str">
        <f>"S74.8"</f>
        <v>S74.8</v>
      </c>
      <c r="D1130" t="s">
        <v>1130</v>
      </c>
    </row>
    <row r="1131" spans="1:4" x14ac:dyDescent="0.55000000000000004">
      <c r="A1131">
        <v>0</v>
      </c>
      <c r="B1131" t="s">
        <v>1440</v>
      </c>
      <c r="C1131" t="str">
        <f>"S74.9"</f>
        <v>S74.9</v>
      </c>
      <c r="D1131" t="s">
        <v>1131</v>
      </c>
    </row>
    <row r="1132" spans="1:4" x14ac:dyDescent="0.55000000000000004">
      <c r="A1132">
        <v>0</v>
      </c>
      <c r="B1132" t="s">
        <v>1440</v>
      </c>
      <c r="C1132" t="str">
        <f>"S75.2"</f>
        <v>S75.2</v>
      </c>
      <c r="D1132" t="s">
        <v>1132</v>
      </c>
    </row>
    <row r="1133" spans="1:4" x14ac:dyDescent="0.55000000000000004">
      <c r="A1133">
        <v>0</v>
      </c>
      <c r="B1133" t="s">
        <v>1440</v>
      </c>
      <c r="C1133" t="str">
        <f>"S75.7"</f>
        <v>S75.7</v>
      </c>
      <c r="D1133" t="s">
        <v>1133</v>
      </c>
    </row>
    <row r="1134" spans="1:4" x14ac:dyDescent="0.55000000000000004">
      <c r="A1134">
        <v>0</v>
      </c>
      <c r="B1134" t="s">
        <v>1440</v>
      </c>
      <c r="C1134" t="str">
        <f>"S75.8"</f>
        <v>S75.8</v>
      </c>
      <c r="D1134" t="s">
        <v>1134</v>
      </c>
    </row>
    <row r="1135" spans="1:4" x14ac:dyDescent="0.55000000000000004">
      <c r="A1135">
        <v>0</v>
      </c>
      <c r="B1135" t="s">
        <v>1440</v>
      </c>
      <c r="C1135" t="str">
        <f>"S75.9"</f>
        <v>S75.9</v>
      </c>
      <c r="D1135" t="s">
        <v>1135</v>
      </c>
    </row>
    <row r="1136" spans="1:4" x14ac:dyDescent="0.55000000000000004">
      <c r="A1136">
        <v>0</v>
      </c>
      <c r="B1136" t="s">
        <v>1440</v>
      </c>
      <c r="C1136" t="str">
        <f>"S76.0"</f>
        <v>S76.0</v>
      </c>
      <c r="D1136" t="s">
        <v>1136</v>
      </c>
    </row>
    <row r="1137" spans="1:4" x14ac:dyDescent="0.55000000000000004">
      <c r="A1137">
        <v>0</v>
      </c>
      <c r="B1137" t="s">
        <v>1440</v>
      </c>
      <c r="C1137" t="str">
        <f>"S76.1"</f>
        <v>S76.1</v>
      </c>
      <c r="D1137" t="s">
        <v>1137</v>
      </c>
    </row>
    <row r="1138" spans="1:4" x14ac:dyDescent="0.55000000000000004">
      <c r="A1138">
        <v>0</v>
      </c>
      <c r="B1138" t="s">
        <v>1440</v>
      </c>
      <c r="C1138" t="str">
        <f>"S76.2"</f>
        <v>S76.2</v>
      </c>
      <c r="D1138" t="s">
        <v>1138</v>
      </c>
    </row>
    <row r="1139" spans="1:4" x14ac:dyDescent="0.55000000000000004">
      <c r="A1139">
        <v>0</v>
      </c>
      <c r="B1139" t="s">
        <v>1440</v>
      </c>
      <c r="C1139" t="str">
        <f>"S76.3"</f>
        <v>S76.3</v>
      </c>
      <c r="D1139" t="s">
        <v>1139</v>
      </c>
    </row>
    <row r="1140" spans="1:4" x14ac:dyDescent="0.55000000000000004">
      <c r="A1140">
        <v>0</v>
      </c>
      <c r="B1140" t="s">
        <v>1440</v>
      </c>
      <c r="C1140" t="str">
        <f>"S76.4"</f>
        <v>S76.4</v>
      </c>
      <c r="D1140" t="s">
        <v>1140</v>
      </c>
    </row>
    <row r="1141" spans="1:4" x14ac:dyDescent="0.55000000000000004">
      <c r="A1141">
        <v>0</v>
      </c>
      <c r="B1141" t="s">
        <v>1440</v>
      </c>
      <c r="C1141" t="str">
        <f>"S76.7"</f>
        <v>S76.7</v>
      </c>
      <c r="D1141" t="s">
        <v>1141</v>
      </c>
    </row>
    <row r="1142" spans="1:4" x14ac:dyDescent="0.55000000000000004">
      <c r="A1142">
        <v>0</v>
      </c>
      <c r="B1142" t="s">
        <v>1440</v>
      </c>
      <c r="C1142" t="str">
        <f>"S77.0"</f>
        <v>S77.0</v>
      </c>
      <c r="D1142" t="s">
        <v>1142</v>
      </c>
    </row>
    <row r="1143" spans="1:4" x14ac:dyDescent="0.55000000000000004">
      <c r="A1143">
        <v>0</v>
      </c>
      <c r="B1143" t="s">
        <v>1440</v>
      </c>
      <c r="C1143" t="str">
        <f>"S77.1"</f>
        <v>S77.1</v>
      </c>
      <c r="D1143" t="s">
        <v>1143</v>
      </c>
    </row>
    <row r="1144" spans="1:4" x14ac:dyDescent="0.55000000000000004">
      <c r="A1144">
        <v>0</v>
      </c>
      <c r="B1144" t="s">
        <v>1440</v>
      </c>
      <c r="C1144" t="str">
        <f>"S77.2"</f>
        <v>S77.2</v>
      </c>
      <c r="D1144" t="s">
        <v>1144</v>
      </c>
    </row>
    <row r="1145" spans="1:4" x14ac:dyDescent="0.55000000000000004">
      <c r="A1145">
        <v>0</v>
      </c>
      <c r="B1145" t="s">
        <v>1440</v>
      </c>
      <c r="C1145" t="str">
        <f>"S79.7"</f>
        <v>S79.7</v>
      </c>
      <c r="D1145" t="s">
        <v>1145</v>
      </c>
    </row>
    <row r="1146" spans="1:4" x14ac:dyDescent="0.55000000000000004">
      <c r="A1146">
        <v>0</v>
      </c>
      <c r="B1146" t="s">
        <v>1440</v>
      </c>
      <c r="C1146" t="str">
        <f>"S79.8"</f>
        <v>S79.8</v>
      </c>
      <c r="D1146" t="s">
        <v>1146</v>
      </c>
    </row>
    <row r="1147" spans="1:4" x14ac:dyDescent="0.55000000000000004">
      <c r="A1147">
        <v>0</v>
      </c>
      <c r="B1147" t="s">
        <v>1440</v>
      </c>
      <c r="C1147" t="str">
        <f>"S79.9"</f>
        <v>S79.9</v>
      </c>
      <c r="D1147" t="s">
        <v>1147</v>
      </c>
    </row>
    <row r="1148" spans="1:4" x14ac:dyDescent="0.55000000000000004">
      <c r="A1148">
        <v>0</v>
      </c>
      <c r="B1148" t="s">
        <v>1440</v>
      </c>
      <c r="C1148" t="str">
        <f>"S80.0"</f>
        <v>S80.0</v>
      </c>
      <c r="D1148" t="s">
        <v>1148</v>
      </c>
    </row>
    <row r="1149" spans="1:4" x14ac:dyDescent="0.55000000000000004">
      <c r="A1149">
        <v>0</v>
      </c>
      <c r="B1149" t="s">
        <v>1440</v>
      </c>
      <c r="C1149" t="str">
        <f>"S80.1"</f>
        <v>S80.1</v>
      </c>
      <c r="D1149" t="s">
        <v>1149</v>
      </c>
    </row>
    <row r="1150" spans="1:4" x14ac:dyDescent="0.55000000000000004">
      <c r="A1150">
        <v>0</v>
      </c>
      <c r="B1150" t="s">
        <v>1440</v>
      </c>
      <c r="C1150" t="str">
        <f>"S80.7"</f>
        <v>S80.7</v>
      </c>
      <c r="D1150" t="s">
        <v>1150</v>
      </c>
    </row>
    <row r="1151" spans="1:4" x14ac:dyDescent="0.55000000000000004">
      <c r="A1151">
        <v>0</v>
      </c>
      <c r="B1151" t="s">
        <v>1440</v>
      </c>
      <c r="C1151" t="str">
        <f>"S80.8"</f>
        <v>S80.8</v>
      </c>
      <c r="D1151" t="s">
        <v>1151</v>
      </c>
    </row>
    <row r="1152" spans="1:4" x14ac:dyDescent="0.55000000000000004">
      <c r="A1152">
        <v>0</v>
      </c>
      <c r="B1152" t="s">
        <v>1440</v>
      </c>
      <c r="C1152" t="str">
        <f>"S80.80"</f>
        <v>S80.80</v>
      </c>
      <c r="D1152" t="s">
        <v>1152</v>
      </c>
    </row>
    <row r="1153" spans="1:4" x14ac:dyDescent="0.55000000000000004">
      <c r="A1153">
        <v>0</v>
      </c>
      <c r="B1153" t="s">
        <v>1440</v>
      </c>
      <c r="C1153" t="str">
        <f>"S80.81"</f>
        <v>S80.81</v>
      </c>
      <c r="D1153" t="s">
        <v>1153</v>
      </c>
    </row>
    <row r="1154" spans="1:4" x14ac:dyDescent="0.55000000000000004">
      <c r="A1154">
        <v>0</v>
      </c>
      <c r="B1154" t="s">
        <v>1440</v>
      </c>
      <c r="C1154" t="str">
        <f>"S80.82"</f>
        <v>S80.82</v>
      </c>
      <c r="D1154" t="s">
        <v>1154</v>
      </c>
    </row>
    <row r="1155" spans="1:4" x14ac:dyDescent="0.55000000000000004">
      <c r="A1155">
        <v>0</v>
      </c>
      <c r="B1155" t="s">
        <v>1440</v>
      </c>
      <c r="C1155" t="str">
        <f>"S80.83"</f>
        <v>S80.83</v>
      </c>
      <c r="D1155" t="s">
        <v>1155</v>
      </c>
    </row>
    <row r="1156" spans="1:4" x14ac:dyDescent="0.55000000000000004">
      <c r="A1156">
        <v>0</v>
      </c>
      <c r="B1156" t="s">
        <v>1440</v>
      </c>
      <c r="C1156" t="str">
        <f>"S80.88"</f>
        <v>S80.88</v>
      </c>
      <c r="D1156" t="s">
        <v>1156</v>
      </c>
    </row>
    <row r="1157" spans="1:4" x14ac:dyDescent="0.55000000000000004">
      <c r="A1157">
        <v>0</v>
      </c>
      <c r="B1157" t="s">
        <v>1440</v>
      </c>
      <c r="C1157" t="str">
        <f>"S80.9"</f>
        <v>S80.9</v>
      </c>
      <c r="D1157" t="s">
        <v>1157</v>
      </c>
    </row>
    <row r="1158" spans="1:4" x14ac:dyDescent="0.55000000000000004">
      <c r="A1158">
        <v>0</v>
      </c>
      <c r="B1158" t="s">
        <v>1440</v>
      </c>
      <c r="C1158" t="str">
        <f>"S81.0"</f>
        <v>S81.0</v>
      </c>
      <c r="D1158" t="s">
        <v>1158</v>
      </c>
    </row>
    <row r="1159" spans="1:4" x14ac:dyDescent="0.55000000000000004">
      <c r="A1159">
        <v>0</v>
      </c>
      <c r="B1159" t="s">
        <v>1440</v>
      </c>
      <c r="C1159" t="str">
        <f>"S81.1"</f>
        <v>S81.1</v>
      </c>
      <c r="D1159" t="s">
        <v>1159</v>
      </c>
    </row>
    <row r="1160" spans="1:4" x14ac:dyDescent="0.55000000000000004">
      <c r="A1160">
        <v>0</v>
      </c>
      <c r="B1160" t="s">
        <v>1440</v>
      </c>
      <c r="C1160" t="str">
        <f>"S81.7"</f>
        <v>S81.7</v>
      </c>
      <c r="D1160" t="s">
        <v>1160</v>
      </c>
    </row>
    <row r="1161" spans="1:4" x14ac:dyDescent="0.55000000000000004">
      <c r="A1161">
        <v>0</v>
      </c>
      <c r="B1161" t="s">
        <v>1440</v>
      </c>
      <c r="C1161" t="str">
        <f>"S81.8"</f>
        <v>S81.8</v>
      </c>
      <c r="D1161" t="s">
        <v>1161</v>
      </c>
    </row>
    <row r="1162" spans="1:4" x14ac:dyDescent="0.55000000000000004">
      <c r="A1162">
        <v>0</v>
      </c>
      <c r="B1162" t="s">
        <v>1440</v>
      </c>
      <c r="C1162" t="str">
        <f>"S81.9"</f>
        <v>S81.9</v>
      </c>
      <c r="D1162" t="s">
        <v>1162</v>
      </c>
    </row>
    <row r="1163" spans="1:4" x14ac:dyDescent="0.55000000000000004">
      <c r="A1163">
        <v>0</v>
      </c>
      <c r="B1163" t="s">
        <v>1440</v>
      </c>
      <c r="C1163" t="str">
        <f>"S82.0"</f>
        <v>S82.0</v>
      </c>
      <c r="D1163" t="s">
        <v>1163</v>
      </c>
    </row>
    <row r="1164" spans="1:4" x14ac:dyDescent="0.55000000000000004">
      <c r="A1164">
        <v>0</v>
      </c>
      <c r="B1164" t="s">
        <v>1440</v>
      </c>
      <c r="C1164" t="str">
        <f>"S82.00"</f>
        <v>S82.00</v>
      </c>
      <c r="D1164" t="s">
        <v>1164</v>
      </c>
    </row>
    <row r="1165" spans="1:4" x14ac:dyDescent="0.55000000000000004">
      <c r="A1165">
        <v>0</v>
      </c>
      <c r="B1165" t="s">
        <v>1440</v>
      </c>
      <c r="C1165" t="str">
        <f>"S82.01"</f>
        <v>S82.01</v>
      </c>
      <c r="D1165" t="s">
        <v>1165</v>
      </c>
    </row>
    <row r="1166" spans="1:4" x14ac:dyDescent="0.55000000000000004">
      <c r="A1166">
        <v>0</v>
      </c>
      <c r="B1166" t="s">
        <v>1440</v>
      </c>
      <c r="C1166" t="str">
        <f>"S82.1"</f>
        <v>S82.1</v>
      </c>
      <c r="D1166" t="s">
        <v>1166</v>
      </c>
    </row>
    <row r="1167" spans="1:4" x14ac:dyDescent="0.55000000000000004">
      <c r="A1167">
        <v>0</v>
      </c>
      <c r="B1167" t="s">
        <v>1440</v>
      </c>
      <c r="C1167" t="str">
        <f>"S82.10"</f>
        <v>S82.10</v>
      </c>
      <c r="D1167" t="s">
        <v>1167</v>
      </c>
    </row>
    <row r="1168" spans="1:4" x14ac:dyDescent="0.55000000000000004">
      <c r="A1168">
        <v>0</v>
      </c>
      <c r="B1168" t="s">
        <v>1440</v>
      </c>
      <c r="C1168" t="str">
        <f>"S82.100"</f>
        <v>S82.100</v>
      </c>
      <c r="D1168" t="s">
        <v>1168</v>
      </c>
    </row>
    <row r="1169" spans="1:4" x14ac:dyDescent="0.55000000000000004">
      <c r="A1169">
        <v>0</v>
      </c>
      <c r="B1169" t="s">
        <v>1440</v>
      </c>
      <c r="C1169" t="str">
        <f>"S82.110"</f>
        <v>S82.110</v>
      </c>
      <c r="D1169" t="s">
        <v>1169</v>
      </c>
    </row>
    <row r="1170" spans="1:4" x14ac:dyDescent="0.55000000000000004">
      <c r="A1170">
        <v>0</v>
      </c>
      <c r="B1170" t="s">
        <v>1440</v>
      </c>
      <c r="C1170" t="str">
        <f>"S82.120"</f>
        <v>S82.120</v>
      </c>
      <c r="D1170" t="s">
        <v>1170</v>
      </c>
    </row>
    <row r="1171" spans="1:4" x14ac:dyDescent="0.55000000000000004">
      <c r="A1171">
        <v>0</v>
      </c>
      <c r="B1171" t="s">
        <v>1440</v>
      </c>
      <c r="C1171" t="str">
        <f>"S82.130"</f>
        <v>S82.130</v>
      </c>
      <c r="D1171" t="s">
        <v>1171</v>
      </c>
    </row>
    <row r="1172" spans="1:4" x14ac:dyDescent="0.55000000000000004">
      <c r="A1172">
        <v>0</v>
      </c>
      <c r="B1172" t="s">
        <v>1440</v>
      </c>
      <c r="C1172" t="str">
        <f>"S82.140"</f>
        <v>S82.140</v>
      </c>
      <c r="D1172" t="s">
        <v>1172</v>
      </c>
    </row>
    <row r="1173" spans="1:4" x14ac:dyDescent="0.55000000000000004">
      <c r="A1173">
        <v>0</v>
      </c>
      <c r="B1173" t="s">
        <v>1440</v>
      </c>
      <c r="C1173" t="str">
        <f>"S82.150"</f>
        <v>S82.150</v>
      </c>
      <c r="D1173" t="s">
        <v>1173</v>
      </c>
    </row>
    <row r="1174" spans="1:4" x14ac:dyDescent="0.55000000000000004">
      <c r="A1174">
        <v>0</v>
      </c>
      <c r="B1174" t="s">
        <v>1440</v>
      </c>
      <c r="C1174" t="str">
        <f>"S82.160"</f>
        <v>S82.160</v>
      </c>
      <c r="D1174" t="s">
        <v>1174</v>
      </c>
    </row>
    <row r="1175" spans="1:4" x14ac:dyDescent="0.55000000000000004">
      <c r="A1175">
        <v>0</v>
      </c>
      <c r="B1175" t="s">
        <v>1440</v>
      </c>
      <c r="C1175" t="str">
        <f>"S82.170"</f>
        <v>S82.170</v>
      </c>
      <c r="D1175" t="s">
        <v>1175</v>
      </c>
    </row>
    <row r="1176" spans="1:4" x14ac:dyDescent="0.55000000000000004">
      <c r="A1176">
        <v>0</v>
      </c>
      <c r="B1176" t="s">
        <v>1440</v>
      </c>
      <c r="C1176" t="str">
        <f>"S82.180"</f>
        <v>S82.180</v>
      </c>
      <c r="D1176" t="s">
        <v>1176</v>
      </c>
    </row>
    <row r="1177" spans="1:4" x14ac:dyDescent="0.55000000000000004">
      <c r="A1177">
        <v>0</v>
      </c>
      <c r="B1177" t="s">
        <v>1440</v>
      </c>
      <c r="C1177" t="str">
        <f>"S82.190"</f>
        <v>S82.190</v>
      </c>
      <c r="D1177" t="s">
        <v>1177</v>
      </c>
    </row>
    <row r="1178" spans="1:4" x14ac:dyDescent="0.55000000000000004">
      <c r="A1178">
        <v>0</v>
      </c>
      <c r="B1178" t="s">
        <v>1440</v>
      </c>
      <c r="C1178" t="str">
        <f>"S82.2"</f>
        <v>S82.2</v>
      </c>
      <c r="D1178" t="s">
        <v>1178</v>
      </c>
    </row>
    <row r="1179" spans="1:4" x14ac:dyDescent="0.55000000000000004">
      <c r="A1179">
        <v>0</v>
      </c>
      <c r="B1179" t="s">
        <v>1440</v>
      </c>
      <c r="C1179" t="str">
        <f>"S82.20"</f>
        <v>S82.20</v>
      </c>
      <c r="D1179" t="s">
        <v>1179</v>
      </c>
    </row>
    <row r="1180" spans="1:4" x14ac:dyDescent="0.55000000000000004">
      <c r="A1180">
        <v>0</v>
      </c>
      <c r="B1180" t="s">
        <v>1440</v>
      </c>
      <c r="C1180" t="str">
        <f>"S82.200"</f>
        <v>S82.200</v>
      </c>
      <c r="D1180" t="s">
        <v>1180</v>
      </c>
    </row>
    <row r="1181" spans="1:4" x14ac:dyDescent="0.55000000000000004">
      <c r="A1181">
        <v>0</v>
      </c>
      <c r="B1181" t="s">
        <v>1440</v>
      </c>
      <c r="C1181" t="str">
        <f>"S82.210"</f>
        <v>S82.210</v>
      </c>
      <c r="D1181" t="s">
        <v>1181</v>
      </c>
    </row>
    <row r="1182" spans="1:4" x14ac:dyDescent="0.55000000000000004">
      <c r="A1182">
        <v>0</v>
      </c>
      <c r="B1182" t="s">
        <v>1440</v>
      </c>
      <c r="C1182" t="str">
        <f>"S82.220"</f>
        <v>S82.220</v>
      </c>
      <c r="D1182" t="s">
        <v>1182</v>
      </c>
    </row>
    <row r="1183" spans="1:4" x14ac:dyDescent="0.55000000000000004">
      <c r="A1183">
        <v>0</v>
      </c>
      <c r="B1183" t="s">
        <v>1440</v>
      </c>
      <c r="C1183" t="str">
        <f>"S82.270"</f>
        <v>S82.270</v>
      </c>
      <c r="D1183" t="s">
        <v>1183</v>
      </c>
    </row>
    <row r="1184" spans="1:4" x14ac:dyDescent="0.55000000000000004">
      <c r="A1184">
        <v>0</v>
      </c>
      <c r="B1184" t="s">
        <v>1440</v>
      </c>
      <c r="C1184" t="str">
        <f>"S82.280"</f>
        <v>S82.280</v>
      </c>
      <c r="D1184" t="s">
        <v>1184</v>
      </c>
    </row>
    <row r="1185" spans="1:4" x14ac:dyDescent="0.55000000000000004">
      <c r="A1185">
        <v>0</v>
      </c>
      <c r="B1185" t="s">
        <v>1440</v>
      </c>
      <c r="C1185" t="str">
        <f>"S82.290"</f>
        <v>S82.290</v>
      </c>
      <c r="D1185" t="s">
        <v>1185</v>
      </c>
    </row>
    <row r="1186" spans="1:4" x14ac:dyDescent="0.55000000000000004">
      <c r="A1186">
        <v>0</v>
      </c>
      <c r="B1186" t="s">
        <v>1440</v>
      </c>
      <c r="C1186" t="str">
        <f>"S82.3"</f>
        <v>S82.3</v>
      </c>
      <c r="D1186" t="s">
        <v>1186</v>
      </c>
    </row>
    <row r="1187" spans="1:4" x14ac:dyDescent="0.55000000000000004">
      <c r="A1187">
        <v>0</v>
      </c>
      <c r="B1187" t="s">
        <v>1440</v>
      </c>
      <c r="C1187" t="str">
        <f>"S82.30"</f>
        <v>S82.30</v>
      </c>
      <c r="D1187" t="s">
        <v>1187</v>
      </c>
    </row>
    <row r="1188" spans="1:4" x14ac:dyDescent="0.55000000000000004">
      <c r="A1188">
        <v>0</v>
      </c>
      <c r="B1188" t="s">
        <v>1440</v>
      </c>
      <c r="C1188" t="str">
        <f>"S82.300"</f>
        <v>S82.300</v>
      </c>
      <c r="D1188" t="s">
        <v>1188</v>
      </c>
    </row>
    <row r="1189" spans="1:4" x14ac:dyDescent="0.55000000000000004">
      <c r="A1189">
        <v>0</v>
      </c>
      <c r="B1189" t="s">
        <v>1440</v>
      </c>
      <c r="C1189" t="str">
        <f>"S82.310"</f>
        <v>S82.310</v>
      </c>
      <c r="D1189" t="s">
        <v>1189</v>
      </c>
    </row>
    <row r="1190" spans="1:4" x14ac:dyDescent="0.55000000000000004">
      <c r="A1190">
        <v>0</v>
      </c>
      <c r="B1190" t="s">
        <v>1440</v>
      </c>
      <c r="C1190" t="str">
        <f>"S82.320"</f>
        <v>S82.320</v>
      </c>
      <c r="D1190" t="s">
        <v>1190</v>
      </c>
    </row>
    <row r="1191" spans="1:4" x14ac:dyDescent="0.55000000000000004">
      <c r="A1191">
        <v>0</v>
      </c>
      <c r="B1191" t="s">
        <v>1440</v>
      </c>
      <c r="C1191" t="str">
        <f>"S82.330"</f>
        <v>S82.330</v>
      </c>
      <c r="D1191" t="s">
        <v>1191</v>
      </c>
    </row>
    <row r="1192" spans="1:4" x14ac:dyDescent="0.55000000000000004">
      <c r="A1192">
        <v>0</v>
      </c>
      <c r="B1192" t="s">
        <v>1440</v>
      </c>
      <c r="C1192" t="str">
        <f>"S82.370"</f>
        <v>S82.370</v>
      </c>
      <c r="D1192" t="s">
        <v>1192</v>
      </c>
    </row>
    <row r="1193" spans="1:4" x14ac:dyDescent="0.55000000000000004">
      <c r="A1193">
        <v>0</v>
      </c>
      <c r="B1193" t="s">
        <v>1440</v>
      </c>
      <c r="C1193" t="str">
        <f>"S82.380"</f>
        <v>S82.380</v>
      </c>
      <c r="D1193" t="s">
        <v>1193</v>
      </c>
    </row>
    <row r="1194" spans="1:4" x14ac:dyDescent="0.55000000000000004">
      <c r="A1194">
        <v>0</v>
      </c>
      <c r="B1194" t="s">
        <v>1440</v>
      </c>
      <c r="C1194" t="str">
        <f>"S82.390"</f>
        <v>S82.390</v>
      </c>
      <c r="D1194" t="s">
        <v>1194</v>
      </c>
    </row>
    <row r="1195" spans="1:4" x14ac:dyDescent="0.55000000000000004">
      <c r="A1195">
        <v>0</v>
      </c>
      <c r="B1195" t="s">
        <v>1440</v>
      </c>
      <c r="C1195" t="str">
        <f>"S82.4"</f>
        <v>S82.4</v>
      </c>
      <c r="D1195" t="s">
        <v>1195</v>
      </c>
    </row>
    <row r="1196" spans="1:4" x14ac:dyDescent="0.55000000000000004">
      <c r="A1196">
        <v>0</v>
      </c>
      <c r="B1196" t="s">
        <v>1440</v>
      </c>
      <c r="C1196" t="str">
        <f>"S82.40"</f>
        <v>S82.40</v>
      </c>
      <c r="D1196" t="s">
        <v>1196</v>
      </c>
    </row>
    <row r="1197" spans="1:4" x14ac:dyDescent="0.55000000000000004">
      <c r="A1197">
        <v>0</v>
      </c>
      <c r="B1197" t="s">
        <v>1440</v>
      </c>
      <c r="C1197" t="str">
        <f>"S82.5"</f>
        <v>S82.5</v>
      </c>
      <c r="D1197" t="s">
        <v>1197</v>
      </c>
    </row>
    <row r="1198" spans="1:4" x14ac:dyDescent="0.55000000000000004">
      <c r="A1198">
        <v>0</v>
      </c>
      <c r="B1198" t="s">
        <v>1440</v>
      </c>
      <c r="C1198" t="str">
        <f>"S82.50"</f>
        <v>S82.50</v>
      </c>
      <c r="D1198" t="s">
        <v>1198</v>
      </c>
    </row>
    <row r="1199" spans="1:4" x14ac:dyDescent="0.55000000000000004">
      <c r="A1199">
        <v>0</v>
      </c>
      <c r="B1199" t="s">
        <v>1440</v>
      </c>
      <c r="C1199" t="str">
        <f>"S82.51"</f>
        <v>S82.51</v>
      </c>
      <c r="D1199" t="s">
        <v>1199</v>
      </c>
    </row>
    <row r="1200" spans="1:4" x14ac:dyDescent="0.55000000000000004">
      <c r="A1200">
        <v>0</v>
      </c>
      <c r="B1200" t="s">
        <v>1440</v>
      </c>
      <c r="C1200" t="str">
        <f>"S82.6"</f>
        <v>S82.6</v>
      </c>
      <c r="D1200" t="s">
        <v>1200</v>
      </c>
    </row>
    <row r="1201" spans="1:4" x14ac:dyDescent="0.55000000000000004">
      <c r="A1201">
        <v>0</v>
      </c>
      <c r="B1201" t="s">
        <v>1440</v>
      </c>
      <c r="C1201" t="str">
        <f>"S82.60"</f>
        <v>S82.60</v>
      </c>
      <c r="D1201" t="s">
        <v>1201</v>
      </c>
    </row>
    <row r="1202" spans="1:4" x14ac:dyDescent="0.55000000000000004">
      <c r="A1202">
        <v>0</v>
      </c>
      <c r="B1202" t="s">
        <v>1440</v>
      </c>
      <c r="C1202" t="str">
        <f>"S82.61"</f>
        <v>S82.61</v>
      </c>
      <c r="D1202" t="s">
        <v>1202</v>
      </c>
    </row>
    <row r="1203" spans="1:4" x14ac:dyDescent="0.55000000000000004">
      <c r="A1203">
        <v>0</v>
      </c>
      <c r="B1203" t="s">
        <v>1440</v>
      </c>
      <c r="C1203" t="str">
        <f>"S82.7"</f>
        <v>S82.7</v>
      </c>
      <c r="D1203" t="s">
        <v>1203</v>
      </c>
    </row>
    <row r="1204" spans="1:4" x14ac:dyDescent="0.55000000000000004">
      <c r="A1204">
        <v>0</v>
      </c>
      <c r="B1204" t="s">
        <v>1440</v>
      </c>
      <c r="C1204" t="str">
        <f>"S82.70"</f>
        <v>S82.70</v>
      </c>
      <c r="D1204" t="s">
        <v>1204</v>
      </c>
    </row>
    <row r="1205" spans="1:4" x14ac:dyDescent="0.55000000000000004">
      <c r="A1205">
        <v>0</v>
      </c>
      <c r="B1205" t="s">
        <v>1440</v>
      </c>
      <c r="C1205" t="str">
        <f>"S82.71"</f>
        <v>S82.71</v>
      </c>
      <c r="D1205" t="s">
        <v>1205</v>
      </c>
    </row>
    <row r="1206" spans="1:4" x14ac:dyDescent="0.55000000000000004">
      <c r="A1206">
        <v>0</v>
      </c>
      <c r="B1206" t="s">
        <v>1440</v>
      </c>
      <c r="C1206" t="str">
        <f>"S82.8"</f>
        <v>S82.8</v>
      </c>
      <c r="D1206" t="s">
        <v>1206</v>
      </c>
    </row>
    <row r="1207" spans="1:4" x14ac:dyDescent="0.55000000000000004">
      <c r="A1207">
        <v>0</v>
      </c>
      <c r="B1207" t="s">
        <v>1440</v>
      </c>
      <c r="C1207" t="str">
        <f>"S82.80"</f>
        <v>S82.80</v>
      </c>
      <c r="D1207" t="s">
        <v>1207</v>
      </c>
    </row>
    <row r="1208" spans="1:4" x14ac:dyDescent="0.55000000000000004">
      <c r="A1208">
        <v>0</v>
      </c>
      <c r="B1208" t="s">
        <v>1440</v>
      </c>
      <c r="C1208" t="str">
        <f>"S82.81"</f>
        <v>S82.81</v>
      </c>
      <c r="D1208" t="s">
        <v>1208</v>
      </c>
    </row>
    <row r="1209" spans="1:4" x14ac:dyDescent="0.55000000000000004">
      <c r="A1209">
        <v>0</v>
      </c>
      <c r="B1209" t="s">
        <v>1440</v>
      </c>
      <c r="C1209" t="str">
        <f>"S82.9"</f>
        <v>S82.9</v>
      </c>
      <c r="D1209" t="s">
        <v>1209</v>
      </c>
    </row>
    <row r="1210" spans="1:4" x14ac:dyDescent="0.55000000000000004">
      <c r="A1210">
        <v>0</v>
      </c>
      <c r="B1210" t="s">
        <v>1440</v>
      </c>
      <c r="C1210" t="str">
        <f>"S82.90"</f>
        <v>S82.90</v>
      </c>
      <c r="D1210" t="s">
        <v>1210</v>
      </c>
    </row>
    <row r="1211" spans="1:4" x14ac:dyDescent="0.55000000000000004">
      <c r="A1211">
        <v>0</v>
      </c>
      <c r="B1211" t="s">
        <v>1440</v>
      </c>
      <c r="C1211" t="str">
        <f>"S82.91"</f>
        <v>S82.91</v>
      </c>
      <c r="D1211" t="s">
        <v>1211</v>
      </c>
    </row>
    <row r="1212" spans="1:4" x14ac:dyDescent="0.55000000000000004">
      <c r="A1212">
        <v>0</v>
      </c>
      <c r="B1212" t="s">
        <v>1440</v>
      </c>
      <c r="C1212" t="str">
        <f>"S83.0"</f>
        <v>S83.0</v>
      </c>
      <c r="D1212" t="s">
        <v>1212</v>
      </c>
    </row>
    <row r="1213" spans="1:4" x14ac:dyDescent="0.55000000000000004">
      <c r="A1213">
        <v>0</v>
      </c>
      <c r="B1213" t="s">
        <v>1440</v>
      </c>
      <c r="C1213" t="str">
        <f>"S83.1"</f>
        <v>S83.1</v>
      </c>
      <c r="D1213" t="s">
        <v>1213</v>
      </c>
    </row>
    <row r="1214" spans="1:4" x14ac:dyDescent="0.55000000000000004">
      <c r="A1214">
        <v>0</v>
      </c>
      <c r="B1214" t="s">
        <v>1440</v>
      </c>
      <c r="C1214" t="str">
        <f>"S83.2"</f>
        <v>S83.2</v>
      </c>
      <c r="D1214" t="s">
        <v>1214</v>
      </c>
    </row>
    <row r="1215" spans="1:4" x14ac:dyDescent="0.55000000000000004">
      <c r="A1215">
        <v>0</v>
      </c>
      <c r="B1215" t="s">
        <v>1440</v>
      </c>
      <c r="C1215" t="str">
        <f>"S83.3"</f>
        <v>S83.3</v>
      </c>
      <c r="D1215" t="s">
        <v>1215</v>
      </c>
    </row>
    <row r="1216" spans="1:4" x14ac:dyDescent="0.55000000000000004">
      <c r="A1216">
        <v>0</v>
      </c>
      <c r="B1216" t="s">
        <v>1440</v>
      </c>
      <c r="C1216" t="str">
        <f>"S83.4"</f>
        <v>S83.4</v>
      </c>
      <c r="D1216" t="s">
        <v>1216</v>
      </c>
    </row>
    <row r="1217" spans="1:4" x14ac:dyDescent="0.55000000000000004">
      <c r="A1217">
        <v>0</v>
      </c>
      <c r="B1217" t="s">
        <v>1440</v>
      </c>
      <c r="C1217" t="str">
        <f>"S83.5"</f>
        <v>S83.5</v>
      </c>
      <c r="D1217" t="s">
        <v>1217</v>
      </c>
    </row>
    <row r="1218" spans="1:4" x14ac:dyDescent="0.55000000000000004">
      <c r="A1218">
        <v>0</v>
      </c>
      <c r="B1218" t="s">
        <v>1440</v>
      </c>
      <c r="C1218" t="str">
        <f>"S83.50"</f>
        <v>S83.50</v>
      </c>
      <c r="D1218" t="s">
        <v>1218</v>
      </c>
    </row>
    <row r="1219" spans="1:4" x14ac:dyDescent="0.55000000000000004">
      <c r="A1219">
        <v>0</v>
      </c>
      <c r="B1219" t="s">
        <v>1440</v>
      </c>
      <c r="C1219" t="str">
        <f>"S83.51"</f>
        <v>S83.51</v>
      </c>
      <c r="D1219" t="s">
        <v>1219</v>
      </c>
    </row>
    <row r="1220" spans="1:4" x14ac:dyDescent="0.55000000000000004">
      <c r="A1220">
        <v>0</v>
      </c>
      <c r="B1220" t="s">
        <v>1440</v>
      </c>
      <c r="C1220" t="str">
        <f>"S83.59"</f>
        <v>S83.59</v>
      </c>
      <c r="D1220" t="s">
        <v>1220</v>
      </c>
    </row>
    <row r="1221" spans="1:4" x14ac:dyDescent="0.55000000000000004">
      <c r="A1221">
        <v>0</v>
      </c>
      <c r="B1221" t="s">
        <v>1440</v>
      </c>
      <c r="C1221" t="str">
        <f>"S83.6"</f>
        <v>S83.6</v>
      </c>
      <c r="D1221" t="s">
        <v>1221</v>
      </c>
    </row>
    <row r="1222" spans="1:4" x14ac:dyDescent="0.55000000000000004">
      <c r="A1222">
        <v>0</v>
      </c>
      <c r="B1222" t="s">
        <v>1440</v>
      </c>
      <c r="C1222" t="str">
        <f>"S83.7"</f>
        <v>S83.7</v>
      </c>
      <c r="D1222" t="s">
        <v>1222</v>
      </c>
    </row>
    <row r="1223" spans="1:4" x14ac:dyDescent="0.55000000000000004">
      <c r="A1223">
        <v>0</v>
      </c>
      <c r="B1223" t="s">
        <v>1440</v>
      </c>
      <c r="C1223" t="str">
        <f>"S84.2"</f>
        <v>S84.2</v>
      </c>
      <c r="D1223" t="s">
        <v>1223</v>
      </c>
    </row>
    <row r="1224" spans="1:4" x14ac:dyDescent="0.55000000000000004">
      <c r="A1224">
        <v>0</v>
      </c>
      <c r="B1224" t="s">
        <v>1440</v>
      </c>
      <c r="C1224" t="str">
        <f>"S84.7"</f>
        <v>S84.7</v>
      </c>
      <c r="D1224" t="s">
        <v>1224</v>
      </c>
    </row>
    <row r="1225" spans="1:4" x14ac:dyDescent="0.55000000000000004">
      <c r="A1225">
        <v>0</v>
      </c>
      <c r="B1225" t="s">
        <v>1440</v>
      </c>
      <c r="C1225" t="str">
        <f>"S84.8"</f>
        <v>S84.8</v>
      </c>
      <c r="D1225" t="s">
        <v>1225</v>
      </c>
    </row>
    <row r="1226" spans="1:4" x14ac:dyDescent="0.55000000000000004">
      <c r="A1226">
        <v>0</v>
      </c>
      <c r="B1226" t="s">
        <v>1440</v>
      </c>
      <c r="C1226" t="str">
        <f>"S84.9"</f>
        <v>S84.9</v>
      </c>
      <c r="D1226" t="s">
        <v>1226</v>
      </c>
    </row>
    <row r="1227" spans="1:4" x14ac:dyDescent="0.55000000000000004">
      <c r="A1227">
        <v>0</v>
      </c>
      <c r="B1227" t="s">
        <v>1440</v>
      </c>
      <c r="C1227" t="str">
        <f>"S85.3"</f>
        <v>S85.3</v>
      </c>
      <c r="D1227" t="s">
        <v>1227</v>
      </c>
    </row>
    <row r="1228" spans="1:4" x14ac:dyDescent="0.55000000000000004">
      <c r="A1228">
        <v>0</v>
      </c>
      <c r="B1228" t="s">
        <v>1440</v>
      </c>
      <c r="C1228" t="str">
        <f>"S85.4"</f>
        <v>S85.4</v>
      </c>
      <c r="D1228" t="s">
        <v>1228</v>
      </c>
    </row>
    <row r="1229" spans="1:4" x14ac:dyDescent="0.55000000000000004">
      <c r="A1229">
        <v>0</v>
      </c>
      <c r="B1229" t="s">
        <v>1440</v>
      </c>
      <c r="C1229" t="str">
        <f>"S85.7"</f>
        <v>S85.7</v>
      </c>
      <c r="D1229" t="s">
        <v>1229</v>
      </c>
    </row>
    <row r="1230" spans="1:4" x14ac:dyDescent="0.55000000000000004">
      <c r="A1230">
        <v>0</v>
      </c>
      <c r="B1230" t="s">
        <v>1440</v>
      </c>
      <c r="C1230" t="str">
        <f>"S85.9"</f>
        <v>S85.9</v>
      </c>
      <c r="D1230" t="s">
        <v>1230</v>
      </c>
    </row>
    <row r="1231" spans="1:4" x14ac:dyDescent="0.55000000000000004">
      <c r="A1231">
        <v>0</v>
      </c>
      <c r="B1231" t="s">
        <v>1440</v>
      </c>
      <c r="C1231" t="str">
        <f>"S86.0"</f>
        <v>S86.0</v>
      </c>
      <c r="D1231" t="s">
        <v>1231</v>
      </c>
    </row>
    <row r="1232" spans="1:4" x14ac:dyDescent="0.55000000000000004">
      <c r="A1232">
        <v>0</v>
      </c>
      <c r="B1232" t="s">
        <v>1440</v>
      </c>
      <c r="C1232" t="str">
        <f>"S86.1"</f>
        <v>S86.1</v>
      </c>
      <c r="D1232" t="s">
        <v>1232</v>
      </c>
    </row>
    <row r="1233" spans="1:4" x14ac:dyDescent="0.55000000000000004">
      <c r="A1233">
        <v>0</v>
      </c>
      <c r="B1233" t="s">
        <v>1440</v>
      </c>
      <c r="C1233" t="str">
        <f>"S86.2"</f>
        <v>S86.2</v>
      </c>
      <c r="D1233" t="s">
        <v>1233</v>
      </c>
    </row>
    <row r="1234" spans="1:4" x14ac:dyDescent="0.55000000000000004">
      <c r="A1234">
        <v>0</v>
      </c>
      <c r="B1234" t="s">
        <v>1440</v>
      </c>
      <c r="C1234" t="str">
        <f>"S86.3"</f>
        <v>S86.3</v>
      </c>
      <c r="D1234" t="s">
        <v>1234</v>
      </c>
    </row>
    <row r="1235" spans="1:4" x14ac:dyDescent="0.55000000000000004">
      <c r="A1235">
        <v>0</v>
      </c>
      <c r="B1235" t="s">
        <v>1440</v>
      </c>
      <c r="C1235" t="str">
        <f>"S86.7"</f>
        <v>S86.7</v>
      </c>
      <c r="D1235" t="s">
        <v>1235</v>
      </c>
    </row>
    <row r="1236" spans="1:4" x14ac:dyDescent="0.55000000000000004">
      <c r="A1236">
        <v>0</v>
      </c>
      <c r="B1236" t="s">
        <v>1440</v>
      </c>
      <c r="C1236" t="str">
        <f>"S86.8"</f>
        <v>S86.8</v>
      </c>
      <c r="D1236" t="s">
        <v>1236</v>
      </c>
    </row>
    <row r="1237" spans="1:4" x14ac:dyDescent="0.55000000000000004">
      <c r="A1237">
        <v>0</v>
      </c>
      <c r="B1237" t="s">
        <v>1440</v>
      </c>
      <c r="C1237" t="str">
        <f>"S86.9"</f>
        <v>S86.9</v>
      </c>
      <c r="D1237" t="s">
        <v>1237</v>
      </c>
    </row>
    <row r="1238" spans="1:4" x14ac:dyDescent="0.55000000000000004">
      <c r="A1238">
        <v>0</v>
      </c>
      <c r="B1238" t="s">
        <v>1440</v>
      </c>
      <c r="C1238" t="str">
        <f>"S87.0"</f>
        <v>S87.0</v>
      </c>
      <c r="D1238" t="s">
        <v>1238</v>
      </c>
    </row>
    <row r="1239" spans="1:4" x14ac:dyDescent="0.55000000000000004">
      <c r="A1239">
        <v>0</v>
      </c>
      <c r="B1239" t="s">
        <v>1440</v>
      </c>
      <c r="C1239" t="str">
        <f>"S87.8"</f>
        <v>S87.8</v>
      </c>
      <c r="D1239" t="s">
        <v>1239</v>
      </c>
    </row>
    <row r="1240" spans="1:4" x14ac:dyDescent="0.55000000000000004">
      <c r="A1240">
        <v>0</v>
      </c>
      <c r="B1240" t="s">
        <v>1440</v>
      </c>
      <c r="C1240" t="str">
        <f>"S87.9"</f>
        <v>S87.9</v>
      </c>
      <c r="D1240" t="s">
        <v>1240</v>
      </c>
    </row>
    <row r="1241" spans="1:4" x14ac:dyDescent="0.55000000000000004">
      <c r="A1241">
        <v>0</v>
      </c>
      <c r="B1241" t="s">
        <v>1440</v>
      </c>
      <c r="C1241" t="str">
        <f>"S89.7"</f>
        <v>S89.7</v>
      </c>
      <c r="D1241" t="s">
        <v>1241</v>
      </c>
    </row>
    <row r="1242" spans="1:4" x14ac:dyDescent="0.55000000000000004">
      <c r="A1242">
        <v>0</v>
      </c>
      <c r="B1242" t="s">
        <v>1440</v>
      </c>
      <c r="C1242" t="str">
        <f>"S89.8"</f>
        <v>S89.8</v>
      </c>
      <c r="D1242" t="s">
        <v>1242</v>
      </c>
    </row>
    <row r="1243" spans="1:4" x14ac:dyDescent="0.55000000000000004">
      <c r="A1243">
        <v>0</v>
      </c>
      <c r="B1243" t="s">
        <v>1440</v>
      </c>
      <c r="C1243" t="str">
        <f>"S89.9"</f>
        <v>S89.9</v>
      </c>
      <c r="D1243" t="s">
        <v>1243</v>
      </c>
    </row>
    <row r="1244" spans="1:4" x14ac:dyDescent="0.55000000000000004">
      <c r="A1244">
        <v>0</v>
      </c>
      <c r="B1244" t="s">
        <v>1440</v>
      </c>
      <c r="C1244" t="str">
        <f>"S90.0"</f>
        <v>S90.0</v>
      </c>
      <c r="D1244" t="s">
        <v>1244</v>
      </c>
    </row>
    <row r="1245" spans="1:4" x14ac:dyDescent="0.55000000000000004">
      <c r="A1245">
        <v>0</v>
      </c>
      <c r="B1245" t="s">
        <v>1440</v>
      </c>
      <c r="C1245" t="str">
        <f>"S90.1"</f>
        <v>S90.1</v>
      </c>
      <c r="D1245" t="s">
        <v>1245</v>
      </c>
    </row>
    <row r="1246" spans="1:4" x14ac:dyDescent="0.55000000000000004">
      <c r="A1246">
        <v>0</v>
      </c>
      <c r="B1246" t="s">
        <v>1440</v>
      </c>
      <c r="C1246" t="str">
        <f>"S90.2"</f>
        <v>S90.2</v>
      </c>
      <c r="D1246" t="s">
        <v>1246</v>
      </c>
    </row>
    <row r="1247" spans="1:4" x14ac:dyDescent="0.55000000000000004">
      <c r="A1247">
        <v>0</v>
      </c>
      <c r="B1247" t="s">
        <v>1440</v>
      </c>
      <c r="C1247" t="str">
        <f>"S90.3"</f>
        <v>S90.3</v>
      </c>
      <c r="D1247" t="s">
        <v>1247</v>
      </c>
    </row>
    <row r="1248" spans="1:4" x14ac:dyDescent="0.55000000000000004">
      <c r="A1248">
        <v>0</v>
      </c>
      <c r="B1248" t="s">
        <v>1440</v>
      </c>
      <c r="C1248" t="str">
        <f>"S90.7"</f>
        <v>S90.7</v>
      </c>
      <c r="D1248" t="s">
        <v>1248</v>
      </c>
    </row>
    <row r="1249" spans="1:4" x14ac:dyDescent="0.55000000000000004">
      <c r="A1249">
        <v>0</v>
      </c>
      <c r="B1249" t="s">
        <v>1440</v>
      </c>
      <c r="C1249" t="str">
        <f>"S90.8"</f>
        <v>S90.8</v>
      </c>
      <c r="D1249" t="s">
        <v>1249</v>
      </c>
    </row>
    <row r="1250" spans="1:4" x14ac:dyDescent="0.55000000000000004">
      <c r="A1250">
        <v>0</v>
      </c>
      <c r="B1250" t="s">
        <v>1440</v>
      </c>
      <c r="C1250" t="str">
        <f>"S90.80"</f>
        <v>S90.80</v>
      </c>
      <c r="D1250" t="s">
        <v>1250</v>
      </c>
    </row>
    <row r="1251" spans="1:4" x14ac:dyDescent="0.55000000000000004">
      <c r="A1251">
        <v>0</v>
      </c>
      <c r="B1251" t="s">
        <v>1440</v>
      </c>
      <c r="C1251" t="str">
        <f>"S90.81"</f>
        <v>S90.81</v>
      </c>
      <c r="D1251" t="s">
        <v>1251</v>
      </c>
    </row>
    <row r="1252" spans="1:4" x14ac:dyDescent="0.55000000000000004">
      <c r="A1252">
        <v>0</v>
      </c>
      <c r="B1252" t="s">
        <v>1440</v>
      </c>
      <c r="C1252" t="str">
        <f>"S90.82"</f>
        <v>S90.82</v>
      </c>
      <c r="D1252" t="s">
        <v>1252</v>
      </c>
    </row>
    <row r="1253" spans="1:4" x14ac:dyDescent="0.55000000000000004">
      <c r="A1253">
        <v>0</v>
      </c>
      <c r="B1253" t="s">
        <v>1440</v>
      </c>
      <c r="C1253" t="str">
        <f>"S90.83"</f>
        <v>S90.83</v>
      </c>
      <c r="D1253" t="s">
        <v>1253</v>
      </c>
    </row>
    <row r="1254" spans="1:4" x14ac:dyDescent="0.55000000000000004">
      <c r="A1254">
        <v>0</v>
      </c>
      <c r="B1254" t="s">
        <v>1440</v>
      </c>
      <c r="C1254" t="str">
        <f>"S90.88"</f>
        <v>S90.88</v>
      </c>
      <c r="D1254" t="s">
        <v>1254</v>
      </c>
    </row>
    <row r="1255" spans="1:4" x14ac:dyDescent="0.55000000000000004">
      <c r="A1255">
        <v>0</v>
      </c>
      <c r="B1255" t="s">
        <v>1440</v>
      </c>
      <c r="C1255" t="str">
        <f>"S90.9"</f>
        <v>S90.9</v>
      </c>
      <c r="D1255" t="s">
        <v>1255</v>
      </c>
    </row>
    <row r="1256" spans="1:4" x14ac:dyDescent="0.55000000000000004">
      <c r="A1256">
        <v>0</v>
      </c>
      <c r="B1256" t="s">
        <v>1440</v>
      </c>
      <c r="C1256" t="str">
        <f>"S91.0"</f>
        <v>S91.0</v>
      </c>
      <c r="D1256" t="s">
        <v>1256</v>
      </c>
    </row>
    <row r="1257" spans="1:4" x14ac:dyDescent="0.55000000000000004">
      <c r="A1257">
        <v>0</v>
      </c>
      <c r="B1257" t="s">
        <v>1440</v>
      </c>
      <c r="C1257" t="str">
        <f>"S91.1"</f>
        <v>S91.1</v>
      </c>
      <c r="D1257" t="s">
        <v>1257</v>
      </c>
    </row>
    <row r="1258" spans="1:4" x14ac:dyDescent="0.55000000000000004">
      <c r="A1258">
        <v>0</v>
      </c>
      <c r="B1258" t="s">
        <v>1440</v>
      </c>
      <c r="C1258" t="str">
        <f>"S91.2"</f>
        <v>S91.2</v>
      </c>
      <c r="D1258" t="s">
        <v>1258</v>
      </c>
    </row>
    <row r="1259" spans="1:4" x14ac:dyDescent="0.55000000000000004">
      <c r="A1259">
        <v>0</v>
      </c>
      <c r="B1259" t="s">
        <v>1440</v>
      </c>
      <c r="C1259" t="str">
        <f>"S91.3"</f>
        <v>S91.3</v>
      </c>
      <c r="D1259" t="s">
        <v>1259</v>
      </c>
    </row>
    <row r="1260" spans="1:4" x14ac:dyDescent="0.55000000000000004">
      <c r="A1260">
        <v>0</v>
      </c>
      <c r="B1260" t="s">
        <v>1440</v>
      </c>
      <c r="C1260" t="str">
        <f>"S91.7"</f>
        <v>S91.7</v>
      </c>
      <c r="D1260" t="s">
        <v>1260</v>
      </c>
    </row>
    <row r="1261" spans="1:4" x14ac:dyDescent="0.55000000000000004">
      <c r="A1261">
        <v>0</v>
      </c>
      <c r="B1261" t="s">
        <v>1440</v>
      </c>
      <c r="C1261" t="str">
        <f>"S91.9"</f>
        <v>S91.9</v>
      </c>
      <c r="D1261" t="s">
        <v>1261</v>
      </c>
    </row>
    <row r="1262" spans="1:4" x14ac:dyDescent="0.55000000000000004">
      <c r="A1262">
        <v>0</v>
      </c>
      <c r="B1262" t="s">
        <v>1440</v>
      </c>
      <c r="C1262" t="str">
        <f>"S92.0"</f>
        <v>S92.0</v>
      </c>
      <c r="D1262" t="s">
        <v>1262</v>
      </c>
    </row>
    <row r="1263" spans="1:4" x14ac:dyDescent="0.55000000000000004">
      <c r="A1263">
        <v>0</v>
      </c>
      <c r="B1263" t="s">
        <v>1440</v>
      </c>
      <c r="C1263" t="str">
        <f>"S92.00"</f>
        <v>S92.00</v>
      </c>
      <c r="D1263" t="s">
        <v>1263</v>
      </c>
    </row>
    <row r="1264" spans="1:4" x14ac:dyDescent="0.55000000000000004">
      <c r="A1264">
        <v>0</v>
      </c>
      <c r="B1264" t="s">
        <v>1440</v>
      </c>
      <c r="C1264" t="str">
        <f>"S92.01"</f>
        <v>S92.01</v>
      </c>
      <c r="D1264" t="s">
        <v>1264</v>
      </c>
    </row>
    <row r="1265" spans="1:4" x14ac:dyDescent="0.55000000000000004">
      <c r="A1265">
        <v>0</v>
      </c>
      <c r="B1265" t="s">
        <v>1440</v>
      </c>
      <c r="C1265" t="str">
        <f>"S92.1"</f>
        <v>S92.1</v>
      </c>
      <c r="D1265" t="s">
        <v>1265</v>
      </c>
    </row>
    <row r="1266" spans="1:4" x14ac:dyDescent="0.55000000000000004">
      <c r="A1266">
        <v>0</v>
      </c>
      <c r="B1266" t="s">
        <v>1440</v>
      </c>
      <c r="C1266" t="str">
        <f>"S92.10"</f>
        <v>S92.10</v>
      </c>
      <c r="D1266" t="s">
        <v>1266</v>
      </c>
    </row>
    <row r="1267" spans="1:4" x14ac:dyDescent="0.55000000000000004">
      <c r="A1267">
        <v>0</v>
      </c>
      <c r="B1267" t="s">
        <v>1440</v>
      </c>
      <c r="C1267" t="str">
        <f>"S92.11"</f>
        <v>S92.11</v>
      </c>
      <c r="D1267" t="s">
        <v>1267</v>
      </c>
    </row>
    <row r="1268" spans="1:4" x14ac:dyDescent="0.55000000000000004">
      <c r="A1268">
        <v>0</v>
      </c>
      <c r="B1268" t="s">
        <v>1440</v>
      </c>
      <c r="C1268" t="str">
        <f>"S92.2"</f>
        <v>S92.2</v>
      </c>
      <c r="D1268" t="s">
        <v>1268</v>
      </c>
    </row>
    <row r="1269" spans="1:4" x14ac:dyDescent="0.55000000000000004">
      <c r="A1269">
        <v>0</v>
      </c>
      <c r="B1269" t="s">
        <v>1440</v>
      </c>
      <c r="C1269" t="str">
        <f>"S92.20"</f>
        <v>S92.20</v>
      </c>
      <c r="D1269" t="s">
        <v>1269</v>
      </c>
    </row>
    <row r="1270" spans="1:4" x14ac:dyDescent="0.55000000000000004">
      <c r="A1270">
        <v>0</v>
      </c>
      <c r="B1270" t="s">
        <v>1440</v>
      </c>
      <c r="C1270" t="str">
        <f>"S92.21"</f>
        <v>S92.21</v>
      </c>
      <c r="D1270" t="s">
        <v>1270</v>
      </c>
    </row>
    <row r="1271" spans="1:4" x14ac:dyDescent="0.55000000000000004">
      <c r="A1271">
        <v>0</v>
      </c>
      <c r="B1271" t="s">
        <v>1440</v>
      </c>
      <c r="C1271" t="str">
        <f>"S92.3"</f>
        <v>S92.3</v>
      </c>
      <c r="D1271" t="s">
        <v>1271</v>
      </c>
    </row>
    <row r="1272" spans="1:4" x14ac:dyDescent="0.55000000000000004">
      <c r="A1272">
        <v>0</v>
      </c>
      <c r="B1272" t="s">
        <v>1440</v>
      </c>
      <c r="C1272" t="str">
        <f>"S92.30"</f>
        <v>S92.30</v>
      </c>
      <c r="D1272" t="s">
        <v>1272</v>
      </c>
    </row>
    <row r="1273" spans="1:4" x14ac:dyDescent="0.55000000000000004">
      <c r="A1273">
        <v>0</v>
      </c>
      <c r="B1273" t="s">
        <v>1440</v>
      </c>
      <c r="C1273" t="str">
        <f>"S92.300"</f>
        <v>S92.300</v>
      </c>
      <c r="D1273" t="s">
        <v>1273</v>
      </c>
    </row>
    <row r="1274" spans="1:4" x14ac:dyDescent="0.55000000000000004">
      <c r="A1274">
        <v>0</v>
      </c>
      <c r="B1274" t="s">
        <v>1440</v>
      </c>
      <c r="C1274" t="str">
        <f>"S92.301"</f>
        <v>S92.301</v>
      </c>
      <c r="D1274" t="s">
        <v>1274</v>
      </c>
    </row>
    <row r="1275" spans="1:4" x14ac:dyDescent="0.55000000000000004">
      <c r="A1275">
        <v>0</v>
      </c>
      <c r="B1275" t="s">
        <v>1440</v>
      </c>
      <c r="C1275" t="str">
        <f>"S92.31"</f>
        <v>S92.31</v>
      </c>
      <c r="D1275" t="s">
        <v>1275</v>
      </c>
    </row>
    <row r="1276" spans="1:4" x14ac:dyDescent="0.55000000000000004">
      <c r="A1276">
        <v>0</v>
      </c>
      <c r="B1276" t="s">
        <v>1440</v>
      </c>
      <c r="C1276" t="str">
        <f>"S92.310"</f>
        <v>S92.310</v>
      </c>
      <c r="D1276" t="s">
        <v>1276</v>
      </c>
    </row>
    <row r="1277" spans="1:4" x14ac:dyDescent="0.55000000000000004">
      <c r="A1277">
        <v>0</v>
      </c>
      <c r="B1277" t="s">
        <v>1440</v>
      </c>
      <c r="C1277" t="str">
        <f>"S92.311"</f>
        <v>S92.311</v>
      </c>
      <c r="D1277" t="s">
        <v>1277</v>
      </c>
    </row>
    <row r="1278" spans="1:4" x14ac:dyDescent="0.55000000000000004">
      <c r="A1278">
        <v>0</v>
      </c>
      <c r="B1278" t="s">
        <v>1440</v>
      </c>
      <c r="C1278" t="str">
        <f>"S92.320"</f>
        <v>S92.320</v>
      </c>
      <c r="D1278" t="s">
        <v>1278</v>
      </c>
    </row>
    <row r="1279" spans="1:4" x14ac:dyDescent="0.55000000000000004">
      <c r="A1279">
        <v>0</v>
      </c>
      <c r="B1279" t="s">
        <v>1440</v>
      </c>
      <c r="C1279" t="str">
        <f>"S92.321"</f>
        <v>S92.321</v>
      </c>
      <c r="D1279" t="s">
        <v>1279</v>
      </c>
    </row>
    <row r="1280" spans="1:4" x14ac:dyDescent="0.55000000000000004">
      <c r="A1280">
        <v>0</v>
      </c>
      <c r="B1280" t="s">
        <v>1440</v>
      </c>
      <c r="C1280" t="str">
        <f>"S92.390"</f>
        <v>S92.390</v>
      </c>
      <c r="D1280" t="s">
        <v>1280</v>
      </c>
    </row>
    <row r="1281" spans="1:4" x14ac:dyDescent="0.55000000000000004">
      <c r="A1281">
        <v>0</v>
      </c>
      <c r="B1281" t="s">
        <v>1440</v>
      </c>
      <c r="C1281" t="str">
        <f>"S92.391"</f>
        <v>S92.391</v>
      </c>
      <c r="D1281" t="s">
        <v>1281</v>
      </c>
    </row>
    <row r="1282" spans="1:4" x14ac:dyDescent="0.55000000000000004">
      <c r="A1282">
        <v>0</v>
      </c>
      <c r="B1282" t="s">
        <v>1440</v>
      </c>
      <c r="C1282" t="str">
        <f>"S92.4"</f>
        <v>S92.4</v>
      </c>
      <c r="D1282" t="s">
        <v>1282</v>
      </c>
    </row>
    <row r="1283" spans="1:4" x14ac:dyDescent="0.55000000000000004">
      <c r="A1283">
        <v>0</v>
      </c>
      <c r="B1283" t="s">
        <v>1440</v>
      </c>
      <c r="C1283" t="str">
        <f>"S92.40"</f>
        <v>S92.40</v>
      </c>
      <c r="D1283" t="s">
        <v>1283</v>
      </c>
    </row>
    <row r="1284" spans="1:4" x14ac:dyDescent="0.55000000000000004">
      <c r="A1284">
        <v>0</v>
      </c>
      <c r="B1284" t="s">
        <v>1440</v>
      </c>
      <c r="C1284" t="str">
        <f>"S92.41"</f>
        <v>S92.41</v>
      </c>
      <c r="D1284" t="s">
        <v>1284</v>
      </c>
    </row>
    <row r="1285" spans="1:4" x14ac:dyDescent="0.55000000000000004">
      <c r="A1285">
        <v>0</v>
      </c>
      <c r="B1285" t="s">
        <v>1440</v>
      </c>
      <c r="C1285" t="str">
        <f>"S92.5"</f>
        <v>S92.5</v>
      </c>
      <c r="D1285" t="s">
        <v>1285</v>
      </c>
    </row>
    <row r="1286" spans="1:4" x14ac:dyDescent="0.55000000000000004">
      <c r="A1286">
        <v>0</v>
      </c>
      <c r="B1286" t="s">
        <v>1440</v>
      </c>
      <c r="C1286" t="str">
        <f>"S92.50"</f>
        <v>S92.50</v>
      </c>
      <c r="D1286" t="s">
        <v>1286</v>
      </c>
    </row>
    <row r="1287" spans="1:4" x14ac:dyDescent="0.55000000000000004">
      <c r="A1287">
        <v>0</v>
      </c>
      <c r="B1287" t="s">
        <v>1440</v>
      </c>
      <c r="C1287" t="str">
        <f>"S92.51"</f>
        <v>S92.51</v>
      </c>
      <c r="D1287" t="s">
        <v>1287</v>
      </c>
    </row>
    <row r="1288" spans="1:4" x14ac:dyDescent="0.55000000000000004">
      <c r="A1288">
        <v>0</v>
      </c>
      <c r="B1288" t="s">
        <v>1440</v>
      </c>
      <c r="C1288" t="str">
        <f>"S92.7"</f>
        <v>S92.7</v>
      </c>
      <c r="D1288" t="s">
        <v>1288</v>
      </c>
    </row>
    <row r="1289" spans="1:4" x14ac:dyDescent="0.55000000000000004">
      <c r="A1289">
        <v>0</v>
      </c>
      <c r="B1289" t="s">
        <v>1440</v>
      </c>
      <c r="C1289" t="str">
        <f>"S92.70"</f>
        <v>S92.70</v>
      </c>
      <c r="D1289" t="s">
        <v>1289</v>
      </c>
    </row>
    <row r="1290" spans="1:4" x14ac:dyDescent="0.55000000000000004">
      <c r="A1290">
        <v>0</v>
      </c>
      <c r="B1290" t="s">
        <v>1440</v>
      </c>
      <c r="C1290" t="str">
        <f>"S92.71"</f>
        <v>S92.71</v>
      </c>
      <c r="D1290" t="s">
        <v>1290</v>
      </c>
    </row>
    <row r="1291" spans="1:4" x14ac:dyDescent="0.55000000000000004">
      <c r="A1291">
        <v>0</v>
      </c>
      <c r="B1291" t="s">
        <v>1440</v>
      </c>
      <c r="C1291" t="str">
        <f>"S92.9"</f>
        <v>S92.9</v>
      </c>
      <c r="D1291" t="s">
        <v>1291</v>
      </c>
    </row>
    <row r="1292" spans="1:4" x14ac:dyDescent="0.55000000000000004">
      <c r="A1292">
        <v>0</v>
      </c>
      <c r="B1292" t="s">
        <v>1440</v>
      </c>
      <c r="C1292" t="str">
        <f>"S92.90"</f>
        <v>S92.90</v>
      </c>
      <c r="D1292" t="s">
        <v>1292</v>
      </c>
    </row>
    <row r="1293" spans="1:4" x14ac:dyDescent="0.55000000000000004">
      <c r="A1293">
        <v>0</v>
      </c>
      <c r="B1293" t="s">
        <v>1440</v>
      </c>
      <c r="C1293" t="str">
        <f>"S92.91"</f>
        <v>S92.91</v>
      </c>
      <c r="D1293" t="s">
        <v>1293</v>
      </c>
    </row>
    <row r="1294" spans="1:4" x14ac:dyDescent="0.55000000000000004">
      <c r="A1294">
        <v>0</v>
      </c>
      <c r="B1294" t="s">
        <v>1440</v>
      </c>
      <c r="C1294" t="str">
        <f>"S93.0"</f>
        <v>S93.0</v>
      </c>
      <c r="D1294" t="s">
        <v>1294</v>
      </c>
    </row>
    <row r="1295" spans="1:4" x14ac:dyDescent="0.55000000000000004">
      <c r="A1295">
        <v>0</v>
      </c>
      <c r="B1295" t="s">
        <v>1440</v>
      </c>
      <c r="C1295" t="str">
        <f>"S93.1"</f>
        <v>S93.1</v>
      </c>
      <c r="D1295" t="s">
        <v>1295</v>
      </c>
    </row>
    <row r="1296" spans="1:4" x14ac:dyDescent="0.55000000000000004">
      <c r="A1296">
        <v>0</v>
      </c>
      <c r="B1296" t="s">
        <v>1440</v>
      </c>
      <c r="C1296" t="str">
        <f>"S93.2"</f>
        <v>S93.2</v>
      </c>
      <c r="D1296" t="s">
        <v>1296</v>
      </c>
    </row>
    <row r="1297" spans="1:4" x14ac:dyDescent="0.55000000000000004">
      <c r="A1297">
        <v>0</v>
      </c>
      <c r="B1297" t="s">
        <v>1440</v>
      </c>
      <c r="C1297" t="str">
        <f>"S93.3"</f>
        <v>S93.3</v>
      </c>
      <c r="D1297" t="s">
        <v>1297</v>
      </c>
    </row>
    <row r="1298" spans="1:4" x14ac:dyDescent="0.55000000000000004">
      <c r="A1298">
        <v>0</v>
      </c>
      <c r="B1298" t="s">
        <v>1440</v>
      </c>
      <c r="C1298" t="str">
        <f>"S93.4"</f>
        <v>S93.4</v>
      </c>
      <c r="D1298" t="s">
        <v>1298</v>
      </c>
    </row>
    <row r="1299" spans="1:4" x14ac:dyDescent="0.55000000000000004">
      <c r="A1299">
        <v>0</v>
      </c>
      <c r="B1299" t="s">
        <v>1440</v>
      </c>
      <c r="C1299" t="str">
        <f>"S93.5"</f>
        <v>S93.5</v>
      </c>
      <c r="D1299" t="s">
        <v>1299</v>
      </c>
    </row>
    <row r="1300" spans="1:4" x14ac:dyDescent="0.55000000000000004">
      <c r="A1300">
        <v>0</v>
      </c>
      <c r="B1300" t="s">
        <v>1440</v>
      </c>
      <c r="C1300" t="str">
        <f>"S93.6"</f>
        <v>S93.6</v>
      </c>
      <c r="D1300" t="s">
        <v>1300</v>
      </c>
    </row>
    <row r="1301" spans="1:4" x14ac:dyDescent="0.55000000000000004">
      <c r="A1301">
        <v>0</v>
      </c>
      <c r="B1301" t="s">
        <v>1440</v>
      </c>
      <c r="C1301" t="str">
        <f>"S94.0"</f>
        <v>S94.0</v>
      </c>
      <c r="D1301" t="s">
        <v>1301</v>
      </c>
    </row>
    <row r="1302" spans="1:4" x14ac:dyDescent="0.55000000000000004">
      <c r="A1302">
        <v>0</v>
      </c>
      <c r="B1302" t="s">
        <v>1440</v>
      </c>
      <c r="C1302" t="str">
        <f>"S94.1"</f>
        <v>S94.1</v>
      </c>
      <c r="D1302" t="s">
        <v>1302</v>
      </c>
    </row>
    <row r="1303" spans="1:4" x14ac:dyDescent="0.55000000000000004">
      <c r="A1303">
        <v>0</v>
      </c>
      <c r="B1303" t="s">
        <v>1440</v>
      </c>
      <c r="C1303" t="str">
        <f>"S94.3"</f>
        <v>S94.3</v>
      </c>
      <c r="D1303" t="s">
        <v>1303</v>
      </c>
    </row>
    <row r="1304" spans="1:4" x14ac:dyDescent="0.55000000000000004">
      <c r="A1304">
        <v>0</v>
      </c>
      <c r="B1304" t="s">
        <v>1440</v>
      </c>
      <c r="C1304" t="str">
        <f>"S94.7"</f>
        <v>S94.7</v>
      </c>
      <c r="D1304" t="s">
        <v>1304</v>
      </c>
    </row>
    <row r="1305" spans="1:4" x14ac:dyDescent="0.55000000000000004">
      <c r="A1305">
        <v>0</v>
      </c>
      <c r="B1305" t="s">
        <v>1440</v>
      </c>
      <c r="C1305" t="str">
        <f>"S94.8"</f>
        <v>S94.8</v>
      </c>
      <c r="D1305" t="s">
        <v>1305</v>
      </c>
    </row>
    <row r="1306" spans="1:4" x14ac:dyDescent="0.55000000000000004">
      <c r="A1306">
        <v>0</v>
      </c>
      <c r="B1306" t="s">
        <v>1440</v>
      </c>
      <c r="C1306" t="str">
        <f>"S94.9"</f>
        <v>S94.9</v>
      </c>
      <c r="D1306" t="s">
        <v>1306</v>
      </c>
    </row>
    <row r="1307" spans="1:4" x14ac:dyDescent="0.55000000000000004">
      <c r="A1307">
        <v>0</v>
      </c>
      <c r="B1307" t="s">
        <v>1440</v>
      </c>
      <c r="C1307" t="str">
        <f>"S95.0"</f>
        <v>S95.0</v>
      </c>
      <c r="D1307" t="s">
        <v>1307</v>
      </c>
    </row>
    <row r="1308" spans="1:4" x14ac:dyDescent="0.55000000000000004">
      <c r="A1308">
        <v>0</v>
      </c>
      <c r="B1308" t="s">
        <v>1440</v>
      </c>
      <c r="C1308" t="str">
        <f>"S95.1"</f>
        <v>S95.1</v>
      </c>
      <c r="D1308" t="s">
        <v>1308</v>
      </c>
    </row>
    <row r="1309" spans="1:4" x14ac:dyDescent="0.55000000000000004">
      <c r="A1309">
        <v>0</v>
      </c>
      <c r="B1309" t="s">
        <v>1440</v>
      </c>
      <c r="C1309" t="str">
        <f>"S95.2"</f>
        <v>S95.2</v>
      </c>
      <c r="D1309" t="s">
        <v>1309</v>
      </c>
    </row>
    <row r="1310" spans="1:4" x14ac:dyDescent="0.55000000000000004">
      <c r="A1310">
        <v>0</v>
      </c>
      <c r="B1310" t="s">
        <v>1440</v>
      </c>
      <c r="C1310" t="str">
        <f>"S95.7"</f>
        <v>S95.7</v>
      </c>
      <c r="D1310" t="s">
        <v>1310</v>
      </c>
    </row>
    <row r="1311" spans="1:4" x14ac:dyDescent="0.55000000000000004">
      <c r="A1311">
        <v>0</v>
      </c>
      <c r="B1311" t="s">
        <v>1440</v>
      </c>
      <c r="C1311" t="str">
        <f>"S95.8"</f>
        <v>S95.8</v>
      </c>
      <c r="D1311" t="s">
        <v>1311</v>
      </c>
    </row>
    <row r="1312" spans="1:4" x14ac:dyDescent="0.55000000000000004">
      <c r="A1312">
        <v>0</v>
      </c>
      <c r="B1312" t="s">
        <v>1440</v>
      </c>
      <c r="C1312" t="str">
        <f>"S95.9"</f>
        <v>S95.9</v>
      </c>
      <c r="D1312" t="s">
        <v>1312</v>
      </c>
    </row>
    <row r="1313" spans="1:4" x14ac:dyDescent="0.55000000000000004">
      <c r="A1313">
        <v>0</v>
      </c>
      <c r="B1313" t="s">
        <v>1440</v>
      </c>
      <c r="C1313" t="str">
        <f>"S96.0"</f>
        <v>S96.0</v>
      </c>
      <c r="D1313" t="s">
        <v>1313</v>
      </c>
    </row>
    <row r="1314" spans="1:4" x14ac:dyDescent="0.55000000000000004">
      <c r="A1314">
        <v>0</v>
      </c>
      <c r="B1314" t="s">
        <v>1440</v>
      </c>
      <c r="C1314" t="str">
        <f>"S96.1"</f>
        <v>S96.1</v>
      </c>
      <c r="D1314" t="s">
        <v>1314</v>
      </c>
    </row>
    <row r="1315" spans="1:4" x14ac:dyDescent="0.55000000000000004">
      <c r="A1315">
        <v>0</v>
      </c>
      <c r="B1315" t="s">
        <v>1440</v>
      </c>
      <c r="C1315" t="str">
        <f>"S96.2"</f>
        <v>S96.2</v>
      </c>
      <c r="D1315" t="s">
        <v>1315</v>
      </c>
    </row>
    <row r="1316" spans="1:4" x14ac:dyDescent="0.55000000000000004">
      <c r="A1316">
        <v>0</v>
      </c>
      <c r="B1316" t="s">
        <v>1440</v>
      </c>
      <c r="C1316" t="str">
        <f>"S96.7"</f>
        <v>S96.7</v>
      </c>
      <c r="D1316" t="s">
        <v>1316</v>
      </c>
    </row>
    <row r="1317" spans="1:4" x14ac:dyDescent="0.55000000000000004">
      <c r="A1317">
        <v>0</v>
      </c>
      <c r="B1317" t="s">
        <v>1440</v>
      </c>
      <c r="C1317" t="str">
        <f>"S96.8"</f>
        <v>S96.8</v>
      </c>
      <c r="D1317" t="s">
        <v>1317</v>
      </c>
    </row>
    <row r="1318" spans="1:4" x14ac:dyDescent="0.55000000000000004">
      <c r="A1318">
        <v>0</v>
      </c>
      <c r="B1318" t="s">
        <v>1440</v>
      </c>
      <c r="C1318" t="str">
        <f>"S96.9"</f>
        <v>S96.9</v>
      </c>
      <c r="D1318" t="s">
        <v>1318</v>
      </c>
    </row>
    <row r="1319" spans="1:4" x14ac:dyDescent="0.55000000000000004">
      <c r="A1319">
        <v>0</v>
      </c>
      <c r="B1319" t="s">
        <v>1440</v>
      </c>
      <c r="C1319" t="str">
        <f>"S97.0"</f>
        <v>S97.0</v>
      </c>
      <c r="D1319" t="s">
        <v>1319</v>
      </c>
    </row>
    <row r="1320" spans="1:4" x14ac:dyDescent="0.55000000000000004">
      <c r="A1320">
        <v>0</v>
      </c>
      <c r="B1320" t="s">
        <v>1440</v>
      </c>
      <c r="C1320" t="str">
        <f>"S97.1"</f>
        <v>S97.1</v>
      </c>
      <c r="D1320" t="s">
        <v>1320</v>
      </c>
    </row>
    <row r="1321" spans="1:4" x14ac:dyDescent="0.55000000000000004">
      <c r="A1321">
        <v>0</v>
      </c>
      <c r="B1321" t="s">
        <v>1440</v>
      </c>
      <c r="C1321" t="str">
        <f>"S97.8"</f>
        <v>S97.8</v>
      </c>
      <c r="D1321" t="s">
        <v>1321</v>
      </c>
    </row>
    <row r="1322" spans="1:4" x14ac:dyDescent="0.55000000000000004">
      <c r="A1322">
        <v>0</v>
      </c>
      <c r="B1322" t="s">
        <v>1440</v>
      </c>
      <c r="C1322" t="str">
        <f>"S98.1"</f>
        <v>S98.1</v>
      </c>
      <c r="D1322" t="s">
        <v>1322</v>
      </c>
    </row>
    <row r="1323" spans="1:4" x14ac:dyDescent="0.55000000000000004">
      <c r="A1323">
        <v>0</v>
      </c>
      <c r="B1323" t="s">
        <v>1440</v>
      </c>
      <c r="C1323" t="str">
        <f>"S98.2"</f>
        <v>S98.2</v>
      </c>
      <c r="D1323" t="s">
        <v>1323</v>
      </c>
    </row>
    <row r="1324" spans="1:4" x14ac:dyDescent="0.55000000000000004">
      <c r="A1324">
        <v>0</v>
      </c>
      <c r="B1324" t="s">
        <v>1440</v>
      </c>
      <c r="C1324" t="str">
        <f>"S98.3"</f>
        <v>S98.3</v>
      </c>
      <c r="D1324" t="s">
        <v>1324</v>
      </c>
    </row>
    <row r="1325" spans="1:4" x14ac:dyDescent="0.55000000000000004">
      <c r="A1325">
        <v>0</v>
      </c>
      <c r="B1325" t="s">
        <v>1440</v>
      </c>
      <c r="C1325" t="str">
        <f>"S98.4"</f>
        <v>S98.4</v>
      </c>
      <c r="D1325" t="s">
        <v>1325</v>
      </c>
    </row>
    <row r="1326" spans="1:4" x14ac:dyDescent="0.55000000000000004">
      <c r="A1326">
        <v>0</v>
      </c>
      <c r="B1326" t="s">
        <v>1440</v>
      </c>
      <c r="C1326" t="str">
        <f>"S99.7"</f>
        <v>S99.7</v>
      </c>
      <c r="D1326" t="s">
        <v>1326</v>
      </c>
    </row>
    <row r="1327" spans="1:4" x14ac:dyDescent="0.55000000000000004">
      <c r="A1327">
        <v>0</v>
      </c>
      <c r="B1327" t="s">
        <v>1440</v>
      </c>
      <c r="C1327" t="str">
        <f>"S99.8"</f>
        <v>S99.8</v>
      </c>
      <c r="D1327" t="s">
        <v>1327</v>
      </c>
    </row>
    <row r="1328" spans="1:4" x14ac:dyDescent="0.55000000000000004">
      <c r="A1328">
        <v>0</v>
      </c>
      <c r="B1328" t="s">
        <v>1440</v>
      </c>
      <c r="C1328" t="str">
        <f>"S99.9"</f>
        <v>S99.9</v>
      </c>
      <c r="D1328" t="s">
        <v>1328</v>
      </c>
    </row>
    <row r="1329" spans="1:4" x14ac:dyDescent="0.55000000000000004">
      <c r="A1329">
        <v>0</v>
      </c>
      <c r="B1329" t="s">
        <v>1440</v>
      </c>
      <c r="C1329" t="str">
        <f>"T00.0"</f>
        <v>T00.0</v>
      </c>
      <c r="D1329" t="s">
        <v>1329</v>
      </c>
    </row>
    <row r="1330" spans="1:4" x14ac:dyDescent="0.55000000000000004">
      <c r="A1330">
        <v>0</v>
      </c>
      <c r="B1330" t="s">
        <v>1440</v>
      </c>
      <c r="C1330" t="str">
        <f>"T00.1"</f>
        <v>T00.1</v>
      </c>
      <c r="D1330" t="s">
        <v>1330</v>
      </c>
    </row>
    <row r="1331" spans="1:4" x14ac:dyDescent="0.55000000000000004">
      <c r="A1331">
        <v>0</v>
      </c>
      <c r="B1331" t="s">
        <v>1440</v>
      </c>
      <c r="C1331" t="str">
        <f>"T00.2"</f>
        <v>T00.2</v>
      </c>
      <c r="D1331" t="s">
        <v>1331</v>
      </c>
    </row>
    <row r="1332" spans="1:4" x14ac:dyDescent="0.55000000000000004">
      <c r="A1332">
        <v>0</v>
      </c>
      <c r="B1332" t="s">
        <v>1440</v>
      </c>
      <c r="C1332" t="str">
        <f>"T00.3"</f>
        <v>T00.3</v>
      </c>
      <c r="D1332" t="s">
        <v>1332</v>
      </c>
    </row>
    <row r="1333" spans="1:4" x14ac:dyDescent="0.55000000000000004">
      <c r="A1333">
        <v>0</v>
      </c>
      <c r="B1333" t="s">
        <v>1440</v>
      </c>
      <c r="C1333" t="str">
        <f>"T00.6"</f>
        <v>T00.6</v>
      </c>
      <c r="D1333" t="s">
        <v>1333</v>
      </c>
    </row>
    <row r="1334" spans="1:4" x14ac:dyDescent="0.55000000000000004">
      <c r="A1334">
        <v>0</v>
      </c>
      <c r="B1334" t="s">
        <v>1440</v>
      </c>
      <c r="C1334" t="str">
        <f>"T00.8"</f>
        <v>T00.8</v>
      </c>
      <c r="D1334" t="s">
        <v>1334</v>
      </c>
    </row>
    <row r="1335" spans="1:4" x14ac:dyDescent="0.55000000000000004">
      <c r="A1335">
        <v>0</v>
      </c>
      <c r="B1335" t="s">
        <v>1440</v>
      </c>
      <c r="C1335" t="str">
        <f>"T00.9"</f>
        <v>T00.9</v>
      </c>
      <c r="D1335" t="s">
        <v>1335</v>
      </c>
    </row>
    <row r="1336" spans="1:4" x14ac:dyDescent="0.55000000000000004">
      <c r="A1336">
        <v>0</v>
      </c>
      <c r="B1336" t="s">
        <v>1440</v>
      </c>
      <c r="C1336" t="str">
        <f>"T01.0"</f>
        <v>T01.0</v>
      </c>
      <c r="D1336" t="s">
        <v>1336</v>
      </c>
    </row>
    <row r="1337" spans="1:4" x14ac:dyDescent="0.55000000000000004">
      <c r="A1337">
        <v>0</v>
      </c>
      <c r="B1337" t="s">
        <v>1440</v>
      </c>
      <c r="C1337" t="str">
        <f>"T01.2"</f>
        <v>T01.2</v>
      </c>
      <c r="D1337" t="s">
        <v>1337</v>
      </c>
    </row>
    <row r="1338" spans="1:4" x14ac:dyDescent="0.55000000000000004">
      <c r="A1338">
        <v>0</v>
      </c>
      <c r="B1338" t="s">
        <v>1440</v>
      </c>
      <c r="C1338" t="str">
        <f>"T01.3"</f>
        <v>T01.3</v>
      </c>
      <c r="D1338" t="s">
        <v>1338</v>
      </c>
    </row>
    <row r="1339" spans="1:4" x14ac:dyDescent="0.55000000000000004">
      <c r="A1339">
        <v>0</v>
      </c>
      <c r="B1339" t="s">
        <v>1440</v>
      </c>
      <c r="C1339" t="str">
        <f>"T01.6"</f>
        <v>T01.6</v>
      </c>
      <c r="D1339" t="s">
        <v>1339</v>
      </c>
    </row>
    <row r="1340" spans="1:4" x14ac:dyDescent="0.55000000000000004">
      <c r="A1340">
        <v>0</v>
      </c>
      <c r="B1340" t="s">
        <v>1440</v>
      </c>
      <c r="C1340" t="str">
        <f>"T01.8"</f>
        <v>T01.8</v>
      </c>
      <c r="D1340" t="s">
        <v>1340</v>
      </c>
    </row>
    <row r="1341" spans="1:4" x14ac:dyDescent="0.55000000000000004">
      <c r="A1341">
        <v>0</v>
      </c>
      <c r="B1341" t="s">
        <v>1440</v>
      </c>
      <c r="C1341" t="str">
        <f>"T01.9"</f>
        <v>T01.9</v>
      </c>
      <c r="D1341" t="s">
        <v>1341</v>
      </c>
    </row>
    <row r="1342" spans="1:4" x14ac:dyDescent="0.55000000000000004">
      <c r="A1342">
        <v>0</v>
      </c>
      <c r="B1342" t="s">
        <v>1440</v>
      </c>
      <c r="C1342" t="str">
        <f>"T02.0"</f>
        <v>T02.0</v>
      </c>
      <c r="D1342" t="s">
        <v>1342</v>
      </c>
    </row>
    <row r="1343" spans="1:4" x14ac:dyDescent="0.55000000000000004">
      <c r="A1343">
        <v>0</v>
      </c>
      <c r="B1343" t="s">
        <v>1440</v>
      </c>
      <c r="C1343" t="str">
        <f>"T02.00"</f>
        <v>T02.00</v>
      </c>
      <c r="D1343" t="s">
        <v>1343</v>
      </c>
    </row>
    <row r="1344" spans="1:4" x14ac:dyDescent="0.55000000000000004">
      <c r="A1344">
        <v>0</v>
      </c>
      <c r="B1344" t="s">
        <v>1440</v>
      </c>
      <c r="C1344" t="str">
        <f>"T02.01"</f>
        <v>T02.01</v>
      </c>
      <c r="D1344" t="s">
        <v>1344</v>
      </c>
    </row>
    <row r="1345" spans="1:4" x14ac:dyDescent="0.55000000000000004">
      <c r="A1345">
        <v>0</v>
      </c>
      <c r="B1345" t="s">
        <v>1440</v>
      </c>
      <c r="C1345" t="str">
        <f>"T02.1"</f>
        <v>T02.1</v>
      </c>
      <c r="D1345" t="s">
        <v>1345</v>
      </c>
    </row>
    <row r="1346" spans="1:4" x14ac:dyDescent="0.55000000000000004">
      <c r="A1346">
        <v>0</v>
      </c>
      <c r="B1346" t="s">
        <v>1440</v>
      </c>
      <c r="C1346" t="str">
        <f>"T02.10"</f>
        <v>T02.10</v>
      </c>
      <c r="D1346" t="s">
        <v>1346</v>
      </c>
    </row>
    <row r="1347" spans="1:4" x14ac:dyDescent="0.55000000000000004">
      <c r="A1347">
        <v>0</v>
      </c>
      <c r="B1347" t="s">
        <v>1440</v>
      </c>
      <c r="C1347" t="str">
        <f>"T02.2"</f>
        <v>T02.2</v>
      </c>
      <c r="D1347" t="s">
        <v>1347</v>
      </c>
    </row>
    <row r="1348" spans="1:4" x14ac:dyDescent="0.55000000000000004">
      <c r="A1348">
        <v>0</v>
      </c>
      <c r="B1348" t="s">
        <v>1440</v>
      </c>
      <c r="C1348" t="str">
        <f>"T02.20"</f>
        <v>T02.20</v>
      </c>
      <c r="D1348" t="s">
        <v>1348</v>
      </c>
    </row>
    <row r="1349" spans="1:4" x14ac:dyDescent="0.55000000000000004">
      <c r="A1349">
        <v>0</v>
      </c>
      <c r="B1349" t="s">
        <v>1440</v>
      </c>
      <c r="C1349" t="str">
        <f>"T02.3"</f>
        <v>T02.3</v>
      </c>
      <c r="D1349" t="s">
        <v>1349</v>
      </c>
    </row>
    <row r="1350" spans="1:4" x14ac:dyDescent="0.55000000000000004">
      <c r="A1350">
        <v>0</v>
      </c>
      <c r="B1350" t="s">
        <v>1440</v>
      </c>
      <c r="C1350" t="str">
        <f>"T02.30"</f>
        <v>T02.30</v>
      </c>
      <c r="D1350" t="s">
        <v>1350</v>
      </c>
    </row>
    <row r="1351" spans="1:4" x14ac:dyDescent="0.55000000000000004">
      <c r="A1351">
        <v>0</v>
      </c>
      <c r="B1351" t="s">
        <v>1440</v>
      </c>
      <c r="C1351" t="str">
        <f>"T02.4"</f>
        <v>T02.4</v>
      </c>
      <c r="D1351" t="s">
        <v>1351</v>
      </c>
    </row>
    <row r="1352" spans="1:4" x14ac:dyDescent="0.55000000000000004">
      <c r="A1352">
        <v>0</v>
      </c>
      <c r="B1352" t="s">
        <v>1440</v>
      </c>
      <c r="C1352" t="str">
        <f>"T02.40"</f>
        <v>T02.40</v>
      </c>
      <c r="D1352" t="s">
        <v>1352</v>
      </c>
    </row>
    <row r="1353" spans="1:4" x14ac:dyDescent="0.55000000000000004">
      <c r="A1353">
        <v>0</v>
      </c>
      <c r="B1353" t="s">
        <v>1440</v>
      </c>
      <c r="C1353" t="str">
        <f>"T02.9"</f>
        <v>T02.9</v>
      </c>
      <c r="D1353" t="s">
        <v>1353</v>
      </c>
    </row>
    <row r="1354" spans="1:4" x14ac:dyDescent="0.55000000000000004">
      <c r="A1354">
        <v>0</v>
      </c>
      <c r="B1354" t="s">
        <v>1440</v>
      </c>
      <c r="C1354" t="str">
        <f>"T02.90"</f>
        <v>T02.90</v>
      </c>
      <c r="D1354" t="s">
        <v>1354</v>
      </c>
    </row>
    <row r="1355" spans="1:4" x14ac:dyDescent="0.55000000000000004">
      <c r="A1355">
        <v>0</v>
      </c>
      <c r="B1355" t="s">
        <v>1440</v>
      </c>
      <c r="C1355" t="str">
        <f>"T02.91"</f>
        <v>T02.91</v>
      </c>
      <c r="D1355" t="s">
        <v>1355</v>
      </c>
    </row>
    <row r="1356" spans="1:4" x14ac:dyDescent="0.55000000000000004">
      <c r="A1356">
        <v>0</v>
      </c>
      <c r="B1356" t="s">
        <v>1440</v>
      </c>
      <c r="C1356" t="str">
        <f>"T03.0"</f>
        <v>T03.0</v>
      </c>
      <c r="D1356" t="s">
        <v>1356</v>
      </c>
    </row>
    <row r="1357" spans="1:4" x14ac:dyDescent="0.55000000000000004">
      <c r="A1357">
        <v>0</v>
      </c>
      <c r="B1357" t="s">
        <v>1440</v>
      </c>
      <c r="C1357" t="str">
        <f>"T03.1"</f>
        <v>T03.1</v>
      </c>
      <c r="D1357" t="s">
        <v>1357</v>
      </c>
    </row>
    <row r="1358" spans="1:4" x14ac:dyDescent="0.55000000000000004">
      <c r="A1358">
        <v>0</v>
      </c>
      <c r="B1358" t="s">
        <v>1440</v>
      </c>
      <c r="C1358" t="str">
        <f>"T03.2"</f>
        <v>T03.2</v>
      </c>
      <c r="D1358" t="s">
        <v>1358</v>
      </c>
    </row>
    <row r="1359" spans="1:4" x14ac:dyDescent="0.55000000000000004">
      <c r="A1359">
        <v>0</v>
      </c>
      <c r="B1359" t="s">
        <v>1440</v>
      </c>
      <c r="C1359" t="str">
        <f>"T03.3"</f>
        <v>T03.3</v>
      </c>
      <c r="D1359" t="s">
        <v>1359</v>
      </c>
    </row>
    <row r="1360" spans="1:4" x14ac:dyDescent="0.55000000000000004">
      <c r="A1360">
        <v>0</v>
      </c>
      <c r="B1360" t="s">
        <v>1440</v>
      </c>
      <c r="C1360" t="str">
        <f>"T03.4"</f>
        <v>T03.4</v>
      </c>
      <c r="D1360" t="s">
        <v>1360</v>
      </c>
    </row>
    <row r="1361" spans="1:4" x14ac:dyDescent="0.55000000000000004">
      <c r="A1361">
        <v>0</v>
      </c>
      <c r="B1361" t="s">
        <v>1440</v>
      </c>
      <c r="C1361" t="str">
        <f>"T03.8"</f>
        <v>T03.8</v>
      </c>
      <c r="D1361" t="s">
        <v>1361</v>
      </c>
    </row>
    <row r="1362" spans="1:4" x14ac:dyDescent="0.55000000000000004">
      <c r="A1362">
        <v>0</v>
      </c>
      <c r="B1362" t="s">
        <v>1440</v>
      </c>
      <c r="C1362" t="str">
        <f>"T03.9"</f>
        <v>T03.9</v>
      </c>
      <c r="D1362" t="s">
        <v>1362</v>
      </c>
    </row>
    <row r="1363" spans="1:4" x14ac:dyDescent="0.55000000000000004">
      <c r="A1363">
        <v>0</v>
      </c>
      <c r="B1363" t="s">
        <v>1440</v>
      </c>
      <c r="C1363" t="str">
        <f>"T04.0"</f>
        <v>T04.0</v>
      </c>
      <c r="D1363" t="s">
        <v>1363</v>
      </c>
    </row>
    <row r="1364" spans="1:4" x14ac:dyDescent="0.55000000000000004">
      <c r="A1364">
        <v>0</v>
      </c>
      <c r="B1364" t="s">
        <v>1440</v>
      </c>
      <c r="C1364" t="str">
        <f>"T04.1"</f>
        <v>T04.1</v>
      </c>
      <c r="D1364" t="s">
        <v>1364</v>
      </c>
    </row>
    <row r="1365" spans="1:4" x14ac:dyDescent="0.55000000000000004">
      <c r="A1365">
        <v>0</v>
      </c>
      <c r="B1365" t="s">
        <v>1440</v>
      </c>
      <c r="C1365" t="str">
        <f>"T04.2"</f>
        <v>T04.2</v>
      </c>
      <c r="D1365" t="s">
        <v>1365</v>
      </c>
    </row>
    <row r="1366" spans="1:4" x14ac:dyDescent="0.55000000000000004">
      <c r="A1366">
        <v>0</v>
      </c>
      <c r="B1366" t="s">
        <v>1440</v>
      </c>
      <c r="C1366" t="str">
        <f>"T04.3"</f>
        <v>T04.3</v>
      </c>
      <c r="D1366" t="s">
        <v>1366</v>
      </c>
    </row>
    <row r="1367" spans="1:4" x14ac:dyDescent="0.55000000000000004">
      <c r="A1367">
        <v>0</v>
      </c>
      <c r="B1367" t="s">
        <v>1440</v>
      </c>
      <c r="C1367" t="str">
        <f>"T04.4"</f>
        <v>T04.4</v>
      </c>
      <c r="D1367" t="s">
        <v>1367</v>
      </c>
    </row>
    <row r="1368" spans="1:4" x14ac:dyDescent="0.55000000000000004">
      <c r="A1368">
        <v>0</v>
      </c>
      <c r="B1368" t="s">
        <v>1440</v>
      </c>
      <c r="C1368" t="str">
        <f>"T04.7"</f>
        <v>T04.7</v>
      </c>
      <c r="D1368" t="s">
        <v>1368</v>
      </c>
    </row>
    <row r="1369" spans="1:4" x14ac:dyDescent="0.55000000000000004">
      <c r="A1369">
        <v>0</v>
      </c>
      <c r="B1369" t="s">
        <v>1440</v>
      </c>
      <c r="C1369" t="str">
        <f>"T04.8"</f>
        <v>T04.8</v>
      </c>
      <c r="D1369" t="s">
        <v>1369</v>
      </c>
    </row>
    <row r="1370" spans="1:4" x14ac:dyDescent="0.55000000000000004">
      <c r="A1370">
        <v>0</v>
      </c>
      <c r="B1370" t="s">
        <v>1440</v>
      </c>
      <c r="C1370" t="str">
        <f>"T04.9"</f>
        <v>T04.9</v>
      </c>
      <c r="D1370" t="s">
        <v>1370</v>
      </c>
    </row>
    <row r="1371" spans="1:4" x14ac:dyDescent="0.55000000000000004">
      <c r="A1371">
        <v>0</v>
      </c>
      <c r="B1371" t="s">
        <v>1440</v>
      </c>
      <c r="C1371" t="str">
        <f>"T05.9"</f>
        <v>T05.9</v>
      </c>
      <c r="D1371" t="s">
        <v>1371</v>
      </c>
    </row>
    <row r="1372" spans="1:4" x14ac:dyDescent="0.55000000000000004">
      <c r="A1372">
        <v>0</v>
      </c>
      <c r="B1372" t="s">
        <v>1440</v>
      </c>
      <c r="C1372" t="str">
        <f>"T06.2"</f>
        <v>T06.2</v>
      </c>
      <c r="D1372" t="s">
        <v>1372</v>
      </c>
    </row>
    <row r="1373" spans="1:4" x14ac:dyDescent="0.55000000000000004">
      <c r="A1373">
        <v>0</v>
      </c>
      <c r="B1373" t="s">
        <v>1440</v>
      </c>
      <c r="C1373" t="str">
        <f>"T06.3"</f>
        <v>T06.3</v>
      </c>
      <c r="D1373" t="s">
        <v>1373</v>
      </c>
    </row>
    <row r="1374" spans="1:4" x14ac:dyDescent="0.55000000000000004">
      <c r="A1374">
        <v>0</v>
      </c>
      <c r="B1374" t="s">
        <v>1440</v>
      </c>
      <c r="C1374" t="str">
        <f>"T06.4"</f>
        <v>T06.4</v>
      </c>
      <c r="D1374" t="s">
        <v>1374</v>
      </c>
    </row>
    <row r="1375" spans="1:4" x14ac:dyDescent="0.55000000000000004">
      <c r="A1375">
        <v>0</v>
      </c>
      <c r="B1375" t="s">
        <v>1440</v>
      </c>
      <c r="C1375" t="str">
        <f>"T06.8"</f>
        <v>T06.8</v>
      </c>
      <c r="D1375" t="s">
        <v>1375</v>
      </c>
    </row>
    <row r="1376" spans="1:4" x14ac:dyDescent="0.55000000000000004">
      <c r="A1376">
        <v>0</v>
      </c>
      <c r="B1376" t="s">
        <v>1440</v>
      </c>
      <c r="C1376" t="str">
        <f>"T07"</f>
        <v>T07</v>
      </c>
      <c r="D1376" t="s">
        <v>1376</v>
      </c>
    </row>
    <row r="1377" spans="1:4" x14ac:dyDescent="0.55000000000000004">
      <c r="A1377">
        <v>0</v>
      </c>
      <c r="B1377" t="s">
        <v>1440</v>
      </c>
      <c r="C1377" t="str">
        <f>"T08"</f>
        <v>T08</v>
      </c>
      <c r="D1377" t="s">
        <v>1377</v>
      </c>
    </row>
    <row r="1378" spans="1:4" x14ac:dyDescent="0.55000000000000004">
      <c r="A1378">
        <v>0</v>
      </c>
      <c r="B1378" t="s">
        <v>1440</v>
      </c>
      <c r="C1378" t="str">
        <f>"T08.0"</f>
        <v>T08.0</v>
      </c>
      <c r="D1378" t="s">
        <v>1378</v>
      </c>
    </row>
    <row r="1379" spans="1:4" x14ac:dyDescent="0.55000000000000004">
      <c r="A1379">
        <v>0</v>
      </c>
      <c r="B1379" t="s">
        <v>1440</v>
      </c>
      <c r="C1379" t="str">
        <f>"T08.1"</f>
        <v>T08.1</v>
      </c>
      <c r="D1379" t="s">
        <v>1379</v>
      </c>
    </row>
    <row r="1380" spans="1:4" x14ac:dyDescent="0.55000000000000004">
      <c r="A1380">
        <v>0</v>
      </c>
      <c r="B1380" t="s">
        <v>1440</v>
      </c>
      <c r="C1380" t="str">
        <f>"T09.0"</f>
        <v>T09.0</v>
      </c>
      <c r="D1380" t="s">
        <v>1380</v>
      </c>
    </row>
    <row r="1381" spans="1:4" x14ac:dyDescent="0.55000000000000004">
      <c r="A1381">
        <v>0</v>
      </c>
      <c r="B1381" t="s">
        <v>1440</v>
      </c>
      <c r="C1381" t="str">
        <f>"T09.1"</f>
        <v>T09.1</v>
      </c>
      <c r="D1381" t="s">
        <v>1381</v>
      </c>
    </row>
    <row r="1382" spans="1:4" x14ac:dyDescent="0.55000000000000004">
      <c r="A1382">
        <v>0</v>
      </c>
      <c r="B1382" t="s">
        <v>1440</v>
      </c>
      <c r="C1382" t="str">
        <f>"T09.2"</f>
        <v>T09.2</v>
      </c>
      <c r="D1382" t="s">
        <v>1382</v>
      </c>
    </row>
    <row r="1383" spans="1:4" x14ac:dyDescent="0.55000000000000004">
      <c r="A1383">
        <v>0</v>
      </c>
      <c r="B1383" t="s">
        <v>1440</v>
      </c>
      <c r="C1383" t="str">
        <f>"T09.4"</f>
        <v>T09.4</v>
      </c>
      <c r="D1383" t="s">
        <v>1383</v>
      </c>
    </row>
    <row r="1384" spans="1:4" x14ac:dyDescent="0.55000000000000004">
      <c r="A1384">
        <v>0</v>
      </c>
      <c r="B1384" t="s">
        <v>1440</v>
      </c>
      <c r="C1384" t="str">
        <f>"T09.5"</f>
        <v>T09.5</v>
      </c>
      <c r="D1384" t="s">
        <v>1384</v>
      </c>
    </row>
    <row r="1385" spans="1:4" x14ac:dyDescent="0.55000000000000004">
      <c r="A1385">
        <v>0</v>
      </c>
      <c r="B1385" t="s">
        <v>1440</v>
      </c>
      <c r="C1385" t="str">
        <f>"T09.6"</f>
        <v>T09.6</v>
      </c>
      <c r="D1385" t="s">
        <v>1385</v>
      </c>
    </row>
    <row r="1386" spans="1:4" x14ac:dyDescent="0.55000000000000004">
      <c r="A1386">
        <v>0</v>
      </c>
      <c r="B1386" t="s">
        <v>1440</v>
      </c>
      <c r="C1386" t="str">
        <f>"T09.8"</f>
        <v>T09.8</v>
      </c>
      <c r="D1386" t="s">
        <v>1386</v>
      </c>
    </row>
    <row r="1387" spans="1:4" x14ac:dyDescent="0.55000000000000004">
      <c r="A1387">
        <v>0</v>
      </c>
      <c r="B1387" t="s">
        <v>1440</v>
      </c>
      <c r="C1387" t="str">
        <f>"T09.9"</f>
        <v>T09.9</v>
      </c>
      <c r="D1387" t="s">
        <v>1387</v>
      </c>
    </row>
    <row r="1388" spans="1:4" x14ac:dyDescent="0.55000000000000004">
      <c r="A1388">
        <v>0</v>
      </c>
      <c r="B1388" t="s">
        <v>1440</v>
      </c>
      <c r="C1388" t="str">
        <f>"T10"</f>
        <v>T10</v>
      </c>
      <c r="D1388" t="s">
        <v>1388</v>
      </c>
    </row>
    <row r="1389" spans="1:4" x14ac:dyDescent="0.55000000000000004">
      <c r="A1389">
        <v>0</v>
      </c>
      <c r="B1389" t="s">
        <v>1440</v>
      </c>
      <c r="C1389" t="str">
        <f>"T10.0"</f>
        <v>T10.0</v>
      </c>
      <c r="D1389" t="s">
        <v>1389</v>
      </c>
    </row>
    <row r="1390" spans="1:4" x14ac:dyDescent="0.55000000000000004">
      <c r="A1390">
        <v>0</v>
      </c>
      <c r="B1390" t="s">
        <v>1440</v>
      </c>
      <c r="C1390" t="str">
        <f>"T10.1"</f>
        <v>T10.1</v>
      </c>
      <c r="D1390" t="s">
        <v>1390</v>
      </c>
    </row>
    <row r="1391" spans="1:4" x14ac:dyDescent="0.55000000000000004">
      <c r="A1391">
        <v>0</v>
      </c>
      <c r="B1391" t="s">
        <v>1440</v>
      </c>
      <c r="C1391" t="str">
        <f>"T11.0"</f>
        <v>T11.0</v>
      </c>
      <c r="D1391" t="s">
        <v>1391</v>
      </c>
    </row>
    <row r="1392" spans="1:4" x14ac:dyDescent="0.55000000000000004">
      <c r="A1392">
        <v>0</v>
      </c>
      <c r="B1392" t="s">
        <v>1440</v>
      </c>
      <c r="C1392" t="str">
        <f>"T11.1"</f>
        <v>T11.1</v>
      </c>
      <c r="D1392" t="s">
        <v>1392</v>
      </c>
    </row>
    <row r="1393" spans="1:4" x14ac:dyDescent="0.55000000000000004">
      <c r="A1393">
        <v>0</v>
      </c>
      <c r="B1393" t="s">
        <v>1440</v>
      </c>
      <c r="C1393" t="str">
        <f>"T11.2"</f>
        <v>T11.2</v>
      </c>
      <c r="D1393" t="s">
        <v>1393</v>
      </c>
    </row>
    <row r="1394" spans="1:4" x14ac:dyDescent="0.55000000000000004">
      <c r="A1394">
        <v>0</v>
      </c>
      <c r="B1394" t="s">
        <v>1440</v>
      </c>
      <c r="C1394" t="str">
        <f>"T11.3"</f>
        <v>T11.3</v>
      </c>
      <c r="D1394" t="s">
        <v>1394</v>
      </c>
    </row>
    <row r="1395" spans="1:4" x14ac:dyDescent="0.55000000000000004">
      <c r="A1395">
        <v>0</v>
      </c>
      <c r="B1395" t="s">
        <v>1440</v>
      </c>
      <c r="C1395" t="str">
        <f>"T11.4"</f>
        <v>T11.4</v>
      </c>
      <c r="D1395" t="s">
        <v>1395</v>
      </c>
    </row>
    <row r="1396" spans="1:4" x14ac:dyDescent="0.55000000000000004">
      <c r="A1396">
        <v>0</v>
      </c>
      <c r="B1396" t="s">
        <v>1440</v>
      </c>
      <c r="C1396" t="str">
        <f>"T11.5"</f>
        <v>T11.5</v>
      </c>
      <c r="D1396" t="s">
        <v>1396</v>
      </c>
    </row>
    <row r="1397" spans="1:4" x14ac:dyDescent="0.55000000000000004">
      <c r="A1397">
        <v>0</v>
      </c>
      <c r="B1397" t="s">
        <v>1440</v>
      </c>
      <c r="C1397" t="str">
        <f>"T11.6"</f>
        <v>T11.6</v>
      </c>
      <c r="D1397" t="s">
        <v>1397</v>
      </c>
    </row>
    <row r="1398" spans="1:4" x14ac:dyDescent="0.55000000000000004">
      <c r="A1398">
        <v>0</v>
      </c>
      <c r="B1398" t="s">
        <v>1440</v>
      </c>
      <c r="C1398" t="str">
        <f>"T11.8"</f>
        <v>T11.8</v>
      </c>
      <c r="D1398" t="s">
        <v>1398</v>
      </c>
    </row>
    <row r="1399" spans="1:4" x14ac:dyDescent="0.55000000000000004">
      <c r="A1399">
        <v>0</v>
      </c>
      <c r="B1399" t="s">
        <v>1440</v>
      </c>
      <c r="C1399" t="str">
        <f>"T11.9"</f>
        <v>T11.9</v>
      </c>
      <c r="D1399" t="s">
        <v>1399</v>
      </c>
    </row>
    <row r="1400" spans="1:4" x14ac:dyDescent="0.55000000000000004">
      <c r="A1400">
        <v>0</v>
      </c>
      <c r="B1400" t="s">
        <v>1440</v>
      </c>
      <c r="C1400" t="str">
        <f>"T12"</f>
        <v>T12</v>
      </c>
      <c r="D1400" t="s">
        <v>1400</v>
      </c>
    </row>
    <row r="1401" spans="1:4" x14ac:dyDescent="0.55000000000000004">
      <c r="A1401">
        <v>0</v>
      </c>
      <c r="B1401" t="s">
        <v>1440</v>
      </c>
      <c r="C1401" t="str">
        <f>"T12.0"</f>
        <v>T12.0</v>
      </c>
      <c r="D1401" t="s">
        <v>1401</v>
      </c>
    </row>
    <row r="1402" spans="1:4" x14ac:dyDescent="0.55000000000000004">
      <c r="A1402">
        <v>0</v>
      </c>
      <c r="B1402" t="s">
        <v>1440</v>
      </c>
      <c r="C1402" t="str">
        <f>"T12.1"</f>
        <v>T12.1</v>
      </c>
      <c r="D1402" t="s">
        <v>1402</v>
      </c>
    </row>
    <row r="1403" spans="1:4" x14ac:dyDescent="0.55000000000000004">
      <c r="A1403">
        <v>0</v>
      </c>
      <c r="B1403" t="s">
        <v>1440</v>
      </c>
      <c r="C1403" t="str">
        <f>"T13.0"</f>
        <v>T13.0</v>
      </c>
      <c r="D1403" t="s">
        <v>1403</v>
      </c>
    </row>
    <row r="1404" spans="1:4" x14ac:dyDescent="0.55000000000000004">
      <c r="A1404">
        <v>0</v>
      </c>
      <c r="B1404" t="s">
        <v>1440</v>
      </c>
      <c r="C1404" t="str">
        <f>"T13.1"</f>
        <v>T13.1</v>
      </c>
      <c r="D1404" t="s">
        <v>1404</v>
      </c>
    </row>
    <row r="1405" spans="1:4" x14ac:dyDescent="0.55000000000000004">
      <c r="A1405">
        <v>0</v>
      </c>
      <c r="B1405" t="s">
        <v>1440</v>
      </c>
      <c r="C1405" t="str">
        <f>"T13.2"</f>
        <v>T13.2</v>
      </c>
      <c r="D1405" t="s">
        <v>1405</v>
      </c>
    </row>
    <row r="1406" spans="1:4" x14ac:dyDescent="0.55000000000000004">
      <c r="A1406">
        <v>0</v>
      </c>
      <c r="B1406" t="s">
        <v>1440</v>
      </c>
      <c r="C1406" t="str">
        <f>"T13.3"</f>
        <v>T13.3</v>
      </c>
      <c r="D1406" t="s">
        <v>1406</v>
      </c>
    </row>
    <row r="1407" spans="1:4" x14ac:dyDescent="0.55000000000000004">
      <c r="A1407">
        <v>0</v>
      </c>
      <c r="B1407" t="s">
        <v>1440</v>
      </c>
      <c r="C1407" t="str">
        <f>"T13.4"</f>
        <v>T13.4</v>
      </c>
      <c r="D1407" t="s">
        <v>1407</v>
      </c>
    </row>
    <row r="1408" spans="1:4" x14ac:dyDescent="0.55000000000000004">
      <c r="A1408">
        <v>0</v>
      </c>
      <c r="B1408" t="s">
        <v>1440</v>
      </c>
      <c r="C1408" t="str">
        <f>"T13.5"</f>
        <v>T13.5</v>
      </c>
      <c r="D1408" t="s">
        <v>1408</v>
      </c>
    </row>
    <row r="1409" spans="1:4" x14ac:dyDescent="0.55000000000000004">
      <c r="A1409">
        <v>0</v>
      </c>
      <c r="B1409" t="s">
        <v>1440</v>
      </c>
      <c r="C1409" t="str">
        <f>"T13.6"</f>
        <v>T13.6</v>
      </c>
      <c r="D1409" t="s">
        <v>1409</v>
      </c>
    </row>
    <row r="1410" spans="1:4" x14ac:dyDescent="0.55000000000000004">
      <c r="A1410">
        <v>0</v>
      </c>
      <c r="B1410" t="s">
        <v>1440</v>
      </c>
      <c r="C1410" t="str">
        <f>"T13.8"</f>
        <v>T13.8</v>
      </c>
      <c r="D1410" t="s">
        <v>1410</v>
      </c>
    </row>
    <row r="1411" spans="1:4" x14ac:dyDescent="0.55000000000000004">
      <c r="A1411">
        <v>0</v>
      </c>
      <c r="B1411" t="s">
        <v>1440</v>
      </c>
      <c r="C1411" t="str">
        <f>"T13.9"</f>
        <v>T13.9</v>
      </c>
      <c r="D1411" t="s">
        <v>1411</v>
      </c>
    </row>
    <row r="1412" spans="1:4" x14ac:dyDescent="0.55000000000000004">
      <c r="A1412">
        <v>0</v>
      </c>
      <c r="B1412" t="s">
        <v>1440</v>
      </c>
      <c r="C1412" t="str">
        <f>"T14.0"</f>
        <v>T14.0</v>
      </c>
      <c r="D1412" t="s">
        <v>1412</v>
      </c>
    </row>
    <row r="1413" spans="1:4" x14ac:dyDescent="0.55000000000000004">
      <c r="A1413">
        <v>0</v>
      </c>
      <c r="B1413" t="s">
        <v>1440</v>
      </c>
      <c r="C1413" t="str">
        <f>"T14.1"</f>
        <v>T14.1</v>
      </c>
      <c r="D1413" t="s">
        <v>1413</v>
      </c>
    </row>
    <row r="1414" spans="1:4" x14ac:dyDescent="0.55000000000000004">
      <c r="A1414">
        <v>0</v>
      </c>
      <c r="B1414" t="s">
        <v>1440</v>
      </c>
      <c r="C1414" t="str">
        <f>"T14.2"</f>
        <v>T14.2</v>
      </c>
      <c r="D1414" t="s">
        <v>1414</v>
      </c>
    </row>
    <row r="1415" spans="1:4" x14ac:dyDescent="0.55000000000000004">
      <c r="A1415">
        <v>0</v>
      </c>
      <c r="B1415" t="s">
        <v>1440</v>
      </c>
      <c r="C1415" t="str">
        <f>"T14.20"</f>
        <v>T14.20</v>
      </c>
      <c r="D1415" t="s">
        <v>1415</v>
      </c>
    </row>
    <row r="1416" spans="1:4" x14ac:dyDescent="0.55000000000000004">
      <c r="A1416">
        <v>0</v>
      </c>
      <c r="B1416" t="s">
        <v>1440</v>
      </c>
      <c r="C1416" t="str">
        <f>"T14.21"</f>
        <v>T14.21</v>
      </c>
      <c r="D1416" t="s">
        <v>1416</v>
      </c>
    </row>
    <row r="1417" spans="1:4" x14ac:dyDescent="0.55000000000000004">
      <c r="A1417">
        <v>0</v>
      </c>
      <c r="B1417" t="s">
        <v>1440</v>
      </c>
      <c r="C1417" t="str">
        <f>"T14.3"</f>
        <v>T14.3</v>
      </c>
      <c r="D1417" t="s">
        <v>1417</v>
      </c>
    </row>
    <row r="1418" spans="1:4" x14ac:dyDescent="0.55000000000000004">
      <c r="A1418">
        <v>0</v>
      </c>
      <c r="B1418" t="s">
        <v>1440</v>
      </c>
      <c r="C1418" t="str">
        <f>"T14.4"</f>
        <v>T14.4</v>
      </c>
      <c r="D1418" t="s">
        <v>1418</v>
      </c>
    </row>
    <row r="1419" spans="1:4" x14ac:dyDescent="0.55000000000000004">
      <c r="A1419">
        <v>0</v>
      </c>
      <c r="B1419" t="s">
        <v>1440</v>
      </c>
      <c r="C1419" t="str">
        <f>"T14.5"</f>
        <v>T14.5</v>
      </c>
      <c r="D1419" t="s">
        <v>1419</v>
      </c>
    </row>
    <row r="1420" spans="1:4" x14ac:dyDescent="0.55000000000000004">
      <c r="A1420">
        <v>0</v>
      </c>
      <c r="B1420" t="s">
        <v>1440</v>
      </c>
      <c r="C1420" t="str">
        <f>"T14.6"</f>
        <v>T14.6</v>
      </c>
      <c r="D1420" t="s">
        <v>1420</v>
      </c>
    </row>
    <row r="1421" spans="1:4" x14ac:dyDescent="0.55000000000000004">
      <c r="A1421">
        <v>0</v>
      </c>
      <c r="B1421" t="s">
        <v>1440</v>
      </c>
      <c r="C1421" t="str">
        <f>"T14.7"</f>
        <v>T14.7</v>
      </c>
      <c r="D1421" t="s">
        <v>1421</v>
      </c>
    </row>
    <row r="1422" spans="1:4" x14ac:dyDescent="0.55000000000000004">
      <c r="A1422">
        <v>0</v>
      </c>
      <c r="B1422" t="s">
        <v>1440</v>
      </c>
      <c r="C1422" t="str">
        <f>"T14.8"</f>
        <v>T14.8</v>
      </c>
      <c r="D1422" t="s">
        <v>1422</v>
      </c>
    </row>
    <row r="1423" spans="1:4" x14ac:dyDescent="0.55000000000000004">
      <c r="A1423">
        <v>0</v>
      </c>
      <c r="B1423" t="s">
        <v>1440</v>
      </c>
      <c r="C1423" t="str">
        <f>"T14.9"</f>
        <v>T14.9</v>
      </c>
      <c r="D1423" t="s">
        <v>1423</v>
      </c>
    </row>
    <row r="1424" spans="1:4" x14ac:dyDescent="0.55000000000000004">
      <c r="A1424">
        <v>0</v>
      </c>
      <c r="B1424" t="s">
        <v>1440</v>
      </c>
      <c r="C1424" t="str">
        <f>"T79.2"</f>
        <v>T79.2</v>
      </c>
      <c r="D1424" t="s">
        <v>1424</v>
      </c>
    </row>
    <row r="1425" spans="1:4" x14ac:dyDescent="0.55000000000000004">
      <c r="A1425">
        <v>0</v>
      </c>
      <c r="B1425" t="s">
        <v>1440</v>
      </c>
      <c r="C1425" t="str">
        <f>"T79.3"</f>
        <v>T79.3</v>
      </c>
      <c r="D1425" t="s">
        <v>1425</v>
      </c>
    </row>
    <row r="1426" spans="1:4" x14ac:dyDescent="0.55000000000000004">
      <c r="A1426">
        <v>0</v>
      </c>
      <c r="B1426" t="s">
        <v>1440</v>
      </c>
      <c r="C1426" t="str">
        <f>"T79.4"</f>
        <v>T79.4</v>
      </c>
      <c r="D1426" t="s">
        <v>1426</v>
      </c>
    </row>
    <row r="1427" spans="1:4" x14ac:dyDescent="0.55000000000000004">
      <c r="A1427">
        <v>0</v>
      </c>
      <c r="B1427" t="s">
        <v>1440</v>
      </c>
      <c r="C1427" t="str">
        <f>"T79.5"</f>
        <v>T79.5</v>
      </c>
      <c r="D1427" t="s">
        <v>1427</v>
      </c>
    </row>
    <row r="1428" spans="1:4" x14ac:dyDescent="0.55000000000000004">
      <c r="A1428">
        <v>0</v>
      </c>
      <c r="B1428" t="s">
        <v>1440</v>
      </c>
      <c r="C1428" t="str">
        <f>"T79.7"</f>
        <v>T79.7</v>
      </c>
      <c r="D1428" t="s">
        <v>1428</v>
      </c>
    </row>
    <row r="1429" spans="1:4" x14ac:dyDescent="0.55000000000000004">
      <c r="A1429">
        <v>0</v>
      </c>
      <c r="B1429" t="s">
        <v>1440</v>
      </c>
      <c r="C1429" t="str">
        <f>"T79.70"</f>
        <v>T79.70</v>
      </c>
      <c r="D1429" t="s">
        <v>1429</v>
      </c>
    </row>
    <row r="1430" spans="1:4" x14ac:dyDescent="0.55000000000000004">
      <c r="A1430">
        <v>0</v>
      </c>
      <c r="B1430" t="s">
        <v>1440</v>
      </c>
      <c r="C1430" t="str">
        <f>"T79.8"</f>
        <v>T79.8</v>
      </c>
      <c r="D1430" t="s">
        <v>1430</v>
      </c>
    </row>
    <row r="1431" spans="1:4" x14ac:dyDescent="0.55000000000000004">
      <c r="A1431">
        <v>0</v>
      </c>
      <c r="B1431" t="s">
        <v>1440</v>
      </c>
      <c r="C1431" t="str">
        <f>"T79.9"</f>
        <v>T79.9</v>
      </c>
      <c r="D1431" t="s">
        <v>1431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8D62-B3F5-4C9D-96F8-E7D1FD4A4F49}">
  <dimension ref="A1:D1402"/>
  <sheetViews>
    <sheetView workbookViewId="0">
      <selection activeCell="D1" sqref="D1:D1048576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1441</v>
      </c>
      <c r="D1" t="s">
        <v>1442</v>
      </c>
    </row>
    <row r="2" spans="1:4" x14ac:dyDescent="0.55000000000000004">
      <c r="A2" t="s">
        <v>1443</v>
      </c>
      <c r="B2" t="s">
        <v>1444</v>
      </c>
      <c r="C2" t="str">
        <f>"00.61"</f>
        <v>00.61</v>
      </c>
      <c r="D2" t="s">
        <v>1445</v>
      </c>
    </row>
    <row r="3" spans="1:4" x14ac:dyDescent="0.55000000000000004">
      <c r="A3" t="s">
        <v>1443</v>
      </c>
      <c r="B3" t="s">
        <v>1444</v>
      </c>
      <c r="C3" t="str">
        <f>"00.62"</f>
        <v>00.62</v>
      </c>
      <c r="D3" t="s">
        <v>1446</v>
      </c>
    </row>
    <row r="4" spans="1:4" x14ac:dyDescent="0.55000000000000004">
      <c r="A4" t="s">
        <v>1443</v>
      </c>
      <c r="B4" t="s">
        <v>1444</v>
      </c>
      <c r="C4" t="str">
        <f>"01.21"</f>
        <v>01.21</v>
      </c>
      <c r="D4" t="s">
        <v>1447</v>
      </c>
    </row>
    <row r="5" spans="1:4" x14ac:dyDescent="0.55000000000000004">
      <c r="A5" t="s">
        <v>1443</v>
      </c>
      <c r="B5" t="s">
        <v>1444</v>
      </c>
      <c r="C5" t="str">
        <f>"01.23"</f>
        <v>01.23</v>
      </c>
      <c r="D5" t="s">
        <v>1448</v>
      </c>
    </row>
    <row r="6" spans="1:4" x14ac:dyDescent="0.55000000000000004">
      <c r="A6" t="s">
        <v>1443</v>
      </c>
      <c r="B6" t="s">
        <v>1444</v>
      </c>
      <c r="C6" t="str">
        <f>"01.24"</f>
        <v>01.24</v>
      </c>
      <c r="D6" t="s">
        <v>1449</v>
      </c>
    </row>
    <row r="7" spans="1:4" x14ac:dyDescent="0.55000000000000004">
      <c r="A7" t="s">
        <v>1443</v>
      </c>
      <c r="B7" t="s">
        <v>1444</v>
      </c>
      <c r="C7" t="str">
        <f>"01.25"</f>
        <v>01.25</v>
      </c>
      <c r="D7" t="s">
        <v>1450</v>
      </c>
    </row>
    <row r="8" spans="1:4" x14ac:dyDescent="0.55000000000000004">
      <c r="A8" t="s">
        <v>1443</v>
      </c>
      <c r="B8" t="s">
        <v>1444</v>
      </c>
      <c r="C8" t="str">
        <f>"01.250"</f>
        <v>01.250</v>
      </c>
      <c r="D8" t="s">
        <v>1451</v>
      </c>
    </row>
    <row r="9" spans="1:4" x14ac:dyDescent="0.55000000000000004">
      <c r="A9" t="s">
        <v>1443</v>
      </c>
      <c r="B9" t="s">
        <v>1444</v>
      </c>
      <c r="C9" t="str">
        <f>"01.28"</f>
        <v>01.28</v>
      </c>
      <c r="D9" t="s">
        <v>1452</v>
      </c>
    </row>
    <row r="10" spans="1:4" x14ac:dyDescent="0.55000000000000004">
      <c r="A10" t="s">
        <v>1443</v>
      </c>
      <c r="B10" t="s">
        <v>1444</v>
      </c>
      <c r="C10" t="str">
        <f>"01.31"</f>
        <v>01.31</v>
      </c>
      <c r="D10" t="s">
        <v>1453</v>
      </c>
    </row>
    <row r="11" spans="1:4" x14ac:dyDescent="0.55000000000000004">
      <c r="A11" t="s">
        <v>1443</v>
      </c>
      <c r="B11" t="s">
        <v>1444</v>
      </c>
      <c r="C11" t="str">
        <f>"01.310"</f>
        <v>01.310</v>
      </c>
      <c r="D11" t="s">
        <v>1454</v>
      </c>
    </row>
    <row r="12" spans="1:4" x14ac:dyDescent="0.55000000000000004">
      <c r="A12" t="s">
        <v>1443</v>
      </c>
      <c r="B12" t="s">
        <v>1444</v>
      </c>
      <c r="C12" t="str">
        <f>"01.311"</f>
        <v>01.311</v>
      </c>
      <c r="D12" t="s">
        <v>1455</v>
      </c>
    </row>
    <row r="13" spans="1:4" x14ac:dyDescent="0.55000000000000004">
      <c r="A13" t="s">
        <v>1443</v>
      </c>
      <c r="B13" t="s">
        <v>1444</v>
      </c>
      <c r="C13" t="str">
        <f>"01.39"</f>
        <v>01.39</v>
      </c>
      <c r="D13" t="s">
        <v>1456</v>
      </c>
    </row>
    <row r="14" spans="1:4" x14ac:dyDescent="0.55000000000000004">
      <c r="A14" t="s">
        <v>1443</v>
      </c>
      <c r="B14" t="s">
        <v>1444</v>
      </c>
      <c r="C14" t="str">
        <f>"01.391"</f>
        <v>01.391</v>
      </c>
      <c r="D14" t="s">
        <v>1457</v>
      </c>
    </row>
    <row r="15" spans="1:4" x14ac:dyDescent="0.55000000000000004">
      <c r="A15" t="s">
        <v>1443</v>
      </c>
      <c r="B15" t="s">
        <v>1444</v>
      </c>
      <c r="C15" t="str">
        <f>"01.392"</f>
        <v>01.392</v>
      </c>
      <c r="D15" t="s">
        <v>1458</v>
      </c>
    </row>
    <row r="16" spans="1:4" x14ac:dyDescent="0.55000000000000004">
      <c r="A16" t="s">
        <v>1443</v>
      </c>
      <c r="B16" t="s">
        <v>1444</v>
      </c>
      <c r="C16" t="str">
        <f>"01.393"</f>
        <v>01.393</v>
      </c>
      <c r="D16" t="s">
        <v>1459</v>
      </c>
    </row>
    <row r="17" spans="1:4" x14ac:dyDescent="0.55000000000000004">
      <c r="A17" t="s">
        <v>1443</v>
      </c>
      <c r="B17" t="s">
        <v>1444</v>
      </c>
      <c r="C17" t="str">
        <f>"01.52"</f>
        <v>01.52</v>
      </c>
      <c r="D17" t="s">
        <v>1460</v>
      </c>
    </row>
    <row r="18" spans="1:4" x14ac:dyDescent="0.55000000000000004">
      <c r="A18" t="s">
        <v>1443</v>
      </c>
      <c r="B18" t="s">
        <v>1444</v>
      </c>
      <c r="C18" t="str">
        <f>"01.53"</f>
        <v>01.53</v>
      </c>
      <c r="D18" t="s">
        <v>1461</v>
      </c>
    </row>
    <row r="19" spans="1:4" x14ac:dyDescent="0.55000000000000004">
      <c r="A19" t="s">
        <v>1443</v>
      </c>
      <c r="B19" t="s">
        <v>1444</v>
      </c>
      <c r="C19" t="str">
        <f>"01.59"</f>
        <v>01.59</v>
      </c>
      <c r="D19" t="s">
        <v>1462</v>
      </c>
    </row>
    <row r="20" spans="1:4" x14ac:dyDescent="0.55000000000000004">
      <c r="A20" t="s">
        <v>1443</v>
      </c>
      <c r="B20" t="s">
        <v>1444</v>
      </c>
      <c r="C20" t="str">
        <f>"01.590"</f>
        <v>01.590</v>
      </c>
      <c r="D20" t="s">
        <v>1463</v>
      </c>
    </row>
    <row r="21" spans="1:4" x14ac:dyDescent="0.55000000000000004">
      <c r="A21" t="s">
        <v>1443</v>
      </c>
      <c r="B21" t="s">
        <v>1444</v>
      </c>
      <c r="C21" t="str">
        <f>"01.591"</f>
        <v>01.591</v>
      </c>
      <c r="D21" t="s">
        <v>1464</v>
      </c>
    </row>
    <row r="22" spans="1:4" x14ac:dyDescent="0.55000000000000004">
      <c r="A22" t="s">
        <v>1443</v>
      </c>
      <c r="B22" t="s">
        <v>1444</v>
      </c>
      <c r="C22" t="str">
        <f>"01.592"</f>
        <v>01.592</v>
      </c>
      <c r="D22" t="s">
        <v>1465</v>
      </c>
    </row>
    <row r="23" spans="1:4" x14ac:dyDescent="0.55000000000000004">
      <c r="A23" t="s">
        <v>1443</v>
      </c>
      <c r="B23" t="s">
        <v>1444</v>
      </c>
      <c r="C23" t="str">
        <f>"01.593"</f>
        <v>01.593</v>
      </c>
      <c r="D23" t="s">
        <v>1466</v>
      </c>
    </row>
    <row r="24" spans="1:4" x14ac:dyDescent="0.55000000000000004">
      <c r="A24" t="s">
        <v>1443</v>
      </c>
      <c r="B24" t="s">
        <v>1444</v>
      </c>
      <c r="C24" t="str">
        <f>"01.594"</f>
        <v>01.594</v>
      </c>
      <c r="D24" t="s">
        <v>1467</v>
      </c>
    </row>
    <row r="25" spans="1:4" x14ac:dyDescent="0.55000000000000004">
      <c r="A25" t="s">
        <v>1443</v>
      </c>
      <c r="B25" t="s">
        <v>1444</v>
      </c>
      <c r="C25" t="str">
        <f>"01.595"</f>
        <v>01.595</v>
      </c>
      <c r="D25" t="s">
        <v>1468</v>
      </c>
    </row>
    <row r="26" spans="1:4" x14ac:dyDescent="0.55000000000000004">
      <c r="A26" t="s">
        <v>1443</v>
      </c>
      <c r="B26" t="s">
        <v>1444</v>
      </c>
      <c r="C26" t="str">
        <f>"01.6"</f>
        <v>01.6</v>
      </c>
      <c r="D26" t="s">
        <v>1469</v>
      </c>
    </row>
    <row r="27" spans="1:4" x14ac:dyDescent="0.55000000000000004">
      <c r="A27" t="s">
        <v>1443</v>
      </c>
      <c r="B27" t="s">
        <v>1444</v>
      </c>
      <c r="C27" t="str">
        <f>"02.02"</f>
        <v>02.02</v>
      </c>
      <c r="D27" t="s">
        <v>1470</v>
      </c>
    </row>
    <row r="28" spans="1:4" x14ac:dyDescent="0.55000000000000004">
      <c r="A28" t="s">
        <v>1443</v>
      </c>
      <c r="B28" t="s">
        <v>1444</v>
      </c>
      <c r="C28" t="str">
        <f>"02.03"</f>
        <v>02.03</v>
      </c>
      <c r="D28" t="s">
        <v>1471</v>
      </c>
    </row>
    <row r="29" spans="1:4" x14ac:dyDescent="0.55000000000000004">
      <c r="A29" t="s">
        <v>1443</v>
      </c>
      <c r="B29" t="s">
        <v>1444</v>
      </c>
      <c r="C29" t="str">
        <f>"02.04"</f>
        <v>02.04</v>
      </c>
      <c r="D29" t="s">
        <v>1472</v>
      </c>
    </row>
    <row r="30" spans="1:4" x14ac:dyDescent="0.55000000000000004">
      <c r="A30" t="s">
        <v>1443</v>
      </c>
      <c r="B30" t="s">
        <v>1444</v>
      </c>
      <c r="C30" t="str">
        <f>"02.05"</f>
        <v>02.05</v>
      </c>
      <c r="D30" t="s">
        <v>1473</v>
      </c>
    </row>
    <row r="31" spans="1:4" x14ac:dyDescent="0.55000000000000004">
      <c r="A31" t="s">
        <v>1443</v>
      </c>
      <c r="B31" t="s">
        <v>1444</v>
      </c>
      <c r="C31" t="str">
        <f>"02.06"</f>
        <v>02.06</v>
      </c>
      <c r="D31" t="s">
        <v>1474</v>
      </c>
    </row>
    <row r="32" spans="1:4" x14ac:dyDescent="0.55000000000000004">
      <c r="A32" t="s">
        <v>1443</v>
      </c>
      <c r="B32" t="s">
        <v>1444</v>
      </c>
      <c r="C32" t="str">
        <f>"02.07"</f>
        <v>02.07</v>
      </c>
      <c r="D32" t="s">
        <v>1475</v>
      </c>
    </row>
    <row r="33" spans="1:4" x14ac:dyDescent="0.55000000000000004">
      <c r="A33" t="s">
        <v>1443</v>
      </c>
      <c r="B33" t="s">
        <v>1444</v>
      </c>
      <c r="C33" t="str">
        <f>"02.11"</f>
        <v>02.11</v>
      </c>
      <c r="D33" t="s">
        <v>1476</v>
      </c>
    </row>
    <row r="34" spans="1:4" x14ac:dyDescent="0.55000000000000004">
      <c r="A34" t="s">
        <v>1443</v>
      </c>
      <c r="B34" t="s">
        <v>1444</v>
      </c>
      <c r="C34" t="str">
        <f>"02.12"</f>
        <v>02.12</v>
      </c>
      <c r="D34" t="s">
        <v>1477</v>
      </c>
    </row>
    <row r="35" spans="1:4" x14ac:dyDescent="0.55000000000000004">
      <c r="A35" t="s">
        <v>1443</v>
      </c>
      <c r="B35" t="s">
        <v>1444</v>
      </c>
      <c r="C35" t="str">
        <f>"02.13"</f>
        <v>02.13</v>
      </c>
      <c r="D35" t="s">
        <v>1478</v>
      </c>
    </row>
    <row r="36" spans="1:4" x14ac:dyDescent="0.55000000000000004">
      <c r="A36" t="s">
        <v>1443</v>
      </c>
      <c r="B36" t="s">
        <v>1444</v>
      </c>
      <c r="C36" t="str">
        <f>"02.2"</f>
        <v>02.2</v>
      </c>
      <c r="D36" t="s">
        <v>1479</v>
      </c>
    </row>
    <row r="37" spans="1:4" x14ac:dyDescent="0.55000000000000004">
      <c r="A37" t="s">
        <v>1443</v>
      </c>
      <c r="B37" t="s">
        <v>1444</v>
      </c>
      <c r="C37" t="str">
        <f>"02.20"</f>
        <v>02.20</v>
      </c>
      <c r="D37" t="s">
        <v>1480</v>
      </c>
    </row>
    <row r="38" spans="1:4" x14ac:dyDescent="0.55000000000000004">
      <c r="A38" t="s">
        <v>1443</v>
      </c>
      <c r="B38" t="s">
        <v>1444</v>
      </c>
      <c r="C38" t="str">
        <f>"02.31"</f>
        <v>02.31</v>
      </c>
      <c r="D38" t="s">
        <v>1481</v>
      </c>
    </row>
    <row r="39" spans="1:4" x14ac:dyDescent="0.55000000000000004">
      <c r="A39" t="s">
        <v>1443</v>
      </c>
      <c r="B39" t="s">
        <v>1444</v>
      </c>
      <c r="C39" t="str">
        <f>"02.32"</f>
        <v>02.32</v>
      </c>
      <c r="D39" t="s">
        <v>1482</v>
      </c>
    </row>
    <row r="40" spans="1:4" x14ac:dyDescent="0.55000000000000004">
      <c r="A40" t="s">
        <v>1443</v>
      </c>
      <c r="B40" t="s">
        <v>1444</v>
      </c>
      <c r="C40" t="str">
        <f>"02.33"</f>
        <v>02.33</v>
      </c>
      <c r="D40" t="s">
        <v>1483</v>
      </c>
    </row>
    <row r="41" spans="1:4" x14ac:dyDescent="0.55000000000000004">
      <c r="A41" t="s">
        <v>1443</v>
      </c>
      <c r="B41" t="s">
        <v>1444</v>
      </c>
      <c r="C41" t="str">
        <f>"02.34"</f>
        <v>02.34</v>
      </c>
      <c r="D41" t="s">
        <v>1484</v>
      </c>
    </row>
    <row r="42" spans="1:4" x14ac:dyDescent="0.55000000000000004">
      <c r="A42" t="s">
        <v>1443</v>
      </c>
      <c r="B42" t="s">
        <v>1444</v>
      </c>
      <c r="C42" t="str">
        <f>"02.35"</f>
        <v>02.35</v>
      </c>
      <c r="D42" t="s">
        <v>1485</v>
      </c>
    </row>
    <row r="43" spans="1:4" x14ac:dyDescent="0.55000000000000004">
      <c r="A43" t="s">
        <v>1443</v>
      </c>
      <c r="B43" t="s">
        <v>1444</v>
      </c>
      <c r="C43" t="str">
        <f>"02.39"</f>
        <v>02.39</v>
      </c>
      <c r="D43" t="s">
        <v>1486</v>
      </c>
    </row>
    <row r="44" spans="1:4" x14ac:dyDescent="0.55000000000000004">
      <c r="A44" t="s">
        <v>1443</v>
      </c>
      <c r="B44" t="s">
        <v>1444</v>
      </c>
      <c r="C44" t="str">
        <f>"02.42"</f>
        <v>02.42</v>
      </c>
      <c r="D44" t="s">
        <v>1487</v>
      </c>
    </row>
    <row r="45" spans="1:4" x14ac:dyDescent="0.55000000000000004">
      <c r="A45" t="s">
        <v>1443</v>
      </c>
      <c r="B45" t="s">
        <v>1444</v>
      </c>
      <c r="C45" t="str">
        <f>"02.43"</f>
        <v>02.43</v>
      </c>
      <c r="D45" t="s">
        <v>1488</v>
      </c>
    </row>
    <row r="46" spans="1:4" x14ac:dyDescent="0.55000000000000004">
      <c r="A46" t="s">
        <v>1443</v>
      </c>
      <c r="B46" t="s">
        <v>1444</v>
      </c>
      <c r="C46" t="str">
        <f>"02.92"</f>
        <v>02.92</v>
      </c>
      <c r="D46" t="s">
        <v>1489</v>
      </c>
    </row>
    <row r="47" spans="1:4" x14ac:dyDescent="0.55000000000000004">
      <c r="A47" t="s">
        <v>1443</v>
      </c>
      <c r="B47" t="s">
        <v>1444</v>
      </c>
      <c r="C47" t="str">
        <f>"02.94"</f>
        <v>02.94</v>
      </c>
      <c r="D47" t="s">
        <v>1490</v>
      </c>
    </row>
    <row r="48" spans="1:4" x14ac:dyDescent="0.55000000000000004">
      <c r="A48" t="s">
        <v>1443</v>
      </c>
      <c r="B48" t="s">
        <v>1444</v>
      </c>
      <c r="C48" t="str">
        <f>"17.61"</f>
        <v>17.61</v>
      </c>
      <c r="D48" t="s">
        <v>1491</v>
      </c>
    </row>
    <row r="49" spans="1:4" x14ac:dyDescent="0.55000000000000004">
      <c r="A49" t="s">
        <v>1443</v>
      </c>
      <c r="B49" t="s">
        <v>1444</v>
      </c>
      <c r="C49" t="str">
        <f>"17.62"</f>
        <v>17.62</v>
      </c>
      <c r="D49" t="s">
        <v>1492</v>
      </c>
    </row>
    <row r="50" spans="1:4" x14ac:dyDescent="0.55000000000000004">
      <c r="A50" t="s">
        <v>1443</v>
      </c>
      <c r="B50" t="s">
        <v>1444</v>
      </c>
      <c r="C50" t="str">
        <f>"38.31"</f>
        <v>38.31</v>
      </c>
      <c r="D50" t="s">
        <v>1493</v>
      </c>
    </row>
    <row r="51" spans="1:4" x14ac:dyDescent="0.55000000000000004">
      <c r="A51" t="s">
        <v>1443</v>
      </c>
      <c r="B51" t="s">
        <v>1444</v>
      </c>
      <c r="C51" t="str">
        <f>"38.41"</f>
        <v>38.41</v>
      </c>
      <c r="D51" t="s">
        <v>1494</v>
      </c>
    </row>
    <row r="52" spans="1:4" x14ac:dyDescent="0.55000000000000004">
      <c r="A52" t="s">
        <v>1443</v>
      </c>
      <c r="B52" t="s">
        <v>1444</v>
      </c>
      <c r="C52" t="str">
        <f>"38.61"</f>
        <v>38.61</v>
      </c>
      <c r="D52" t="s">
        <v>1495</v>
      </c>
    </row>
    <row r="53" spans="1:4" x14ac:dyDescent="0.55000000000000004">
      <c r="A53" t="s">
        <v>1443</v>
      </c>
      <c r="B53" t="s">
        <v>1444</v>
      </c>
      <c r="C53" t="str">
        <f>"38.81"</f>
        <v>38.81</v>
      </c>
      <c r="D53" t="s">
        <v>1496</v>
      </c>
    </row>
    <row r="54" spans="1:4" x14ac:dyDescent="0.55000000000000004">
      <c r="A54" t="s">
        <v>1443</v>
      </c>
      <c r="B54" t="s">
        <v>1444</v>
      </c>
      <c r="C54" t="str">
        <f>"39.28"</f>
        <v>39.28</v>
      </c>
      <c r="D54" t="s">
        <v>1497</v>
      </c>
    </row>
    <row r="55" spans="1:4" x14ac:dyDescent="0.55000000000000004">
      <c r="A55" t="s">
        <v>1443</v>
      </c>
      <c r="B55" t="s">
        <v>1444</v>
      </c>
      <c r="C55" t="str">
        <f>"39.280"</f>
        <v>39.280</v>
      </c>
      <c r="D55" t="s">
        <v>1498</v>
      </c>
    </row>
    <row r="56" spans="1:4" x14ac:dyDescent="0.55000000000000004">
      <c r="A56" t="s">
        <v>1443</v>
      </c>
      <c r="B56" t="s">
        <v>1444</v>
      </c>
      <c r="C56" t="str">
        <f>"39.281"</f>
        <v>39.281</v>
      </c>
      <c r="D56" t="s">
        <v>1499</v>
      </c>
    </row>
    <row r="57" spans="1:4" x14ac:dyDescent="0.55000000000000004">
      <c r="A57" t="s">
        <v>1443</v>
      </c>
      <c r="B57" t="s">
        <v>1444</v>
      </c>
      <c r="C57" t="str">
        <f>"39.51"</f>
        <v>39.51</v>
      </c>
      <c r="D57" t="s">
        <v>1500</v>
      </c>
    </row>
    <row r="58" spans="1:4" x14ac:dyDescent="0.55000000000000004">
      <c r="A58" t="s">
        <v>1443</v>
      </c>
      <c r="B58" t="s">
        <v>1444</v>
      </c>
      <c r="C58" t="str">
        <f>"39.52"</f>
        <v>39.52</v>
      </c>
      <c r="D58" t="s">
        <v>1501</v>
      </c>
    </row>
    <row r="59" spans="1:4" x14ac:dyDescent="0.55000000000000004">
      <c r="A59" t="s">
        <v>1443</v>
      </c>
      <c r="B59" t="s">
        <v>1444</v>
      </c>
      <c r="C59" t="str">
        <f>"39.53"</f>
        <v>39.53</v>
      </c>
      <c r="D59" t="s">
        <v>1502</v>
      </c>
    </row>
    <row r="60" spans="1:4" x14ac:dyDescent="0.55000000000000004">
      <c r="A60" t="s">
        <v>1503</v>
      </c>
      <c r="B60" t="s">
        <v>1504</v>
      </c>
      <c r="C60" t="str">
        <f>"15.7"</f>
        <v>15.7</v>
      </c>
      <c r="D60" t="s">
        <v>1505</v>
      </c>
    </row>
    <row r="61" spans="1:4" x14ac:dyDescent="0.55000000000000004">
      <c r="A61" t="s">
        <v>1503</v>
      </c>
      <c r="B61" t="s">
        <v>1504</v>
      </c>
      <c r="C61" t="str">
        <f>"21.05"</f>
        <v>21.05</v>
      </c>
      <c r="D61" t="s">
        <v>1506</v>
      </c>
    </row>
    <row r="62" spans="1:4" x14ac:dyDescent="0.55000000000000004">
      <c r="A62" t="s">
        <v>1503</v>
      </c>
      <c r="B62" t="s">
        <v>1504</v>
      </c>
      <c r="C62" t="str">
        <f>"21.06"</f>
        <v>21.06</v>
      </c>
      <c r="D62" t="s">
        <v>1507</v>
      </c>
    </row>
    <row r="63" spans="1:4" x14ac:dyDescent="0.55000000000000004">
      <c r="A63" t="s">
        <v>1503</v>
      </c>
      <c r="B63" t="s">
        <v>1504</v>
      </c>
      <c r="C63" t="str">
        <f>"21.09"</f>
        <v>21.09</v>
      </c>
      <c r="D63" t="s">
        <v>1508</v>
      </c>
    </row>
    <row r="64" spans="1:4" x14ac:dyDescent="0.55000000000000004">
      <c r="A64" t="s">
        <v>1503</v>
      </c>
      <c r="B64" t="s">
        <v>1504</v>
      </c>
      <c r="C64" t="str">
        <f>"21.72"</f>
        <v>21.72</v>
      </c>
      <c r="D64" t="s">
        <v>1509</v>
      </c>
    </row>
    <row r="65" spans="1:4" x14ac:dyDescent="0.55000000000000004">
      <c r="A65" t="s">
        <v>1503</v>
      </c>
      <c r="B65" t="s">
        <v>1504</v>
      </c>
      <c r="C65" t="str">
        <f>"21.89"</f>
        <v>21.89</v>
      </c>
      <c r="D65" t="s">
        <v>1510</v>
      </c>
    </row>
    <row r="66" spans="1:4" x14ac:dyDescent="0.55000000000000004">
      <c r="A66" t="s">
        <v>1503</v>
      </c>
      <c r="B66" t="s">
        <v>1504</v>
      </c>
      <c r="C66" t="str">
        <f>"76.2"</f>
        <v>76.2</v>
      </c>
      <c r="D66" t="s">
        <v>1511</v>
      </c>
    </row>
    <row r="67" spans="1:4" x14ac:dyDescent="0.55000000000000004">
      <c r="A67" t="s">
        <v>1503</v>
      </c>
      <c r="B67" t="s">
        <v>1504</v>
      </c>
      <c r="C67" t="str">
        <f>"76.31"</f>
        <v>76.31</v>
      </c>
      <c r="D67" t="s">
        <v>1512</v>
      </c>
    </row>
    <row r="68" spans="1:4" x14ac:dyDescent="0.55000000000000004">
      <c r="A68" t="s">
        <v>1503</v>
      </c>
      <c r="B68" t="s">
        <v>1504</v>
      </c>
      <c r="C68" t="str">
        <f>"76.32"</f>
        <v>76.32</v>
      </c>
      <c r="D68" t="s">
        <v>1513</v>
      </c>
    </row>
    <row r="69" spans="1:4" x14ac:dyDescent="0.55000000000000004">
      <c r="A69" t="s">
        <v>1503</v>
      </c>
      <c r="B69" t="s">
        <v>1504</v>
      </c>
      <c r="C69" t="str">
        <f>"76.33"</f>
        <v>76.33</v>
      </c>
      <c r="D69" t="s">
        <v>1514</v>
      </c>
    </row>
    <row r="70" spans="1:4" x14ac:dyDescent="0.55000000000000004">
      <c r="A70" t="s">
        <v>1503</v>
      </c>
      <c r="B70" t="s">
        <v>1504</v>
      </c>
      <c r="C70" t="str">
        <f>"76.34"</f>
        <v>76.34</v>
      </c>
      <c r="D70" t="s">
        <v>1515</v>
      </c>
    </row>
    <row r="71" spans="1:4" x14ac:dyDescent="0.55000000000000004">
      <c r="A71" t="s">
        <v>1503</v>
      </c>
      <c r="B71" t="s">
        <v>1504</v>
      </c>
      <c r="C71" t="str">
        <f>"76.39"</f>
        <v>76.39</v>
      </c>
      <c r="D71" t="s">
        <v>1516</v>
      </c>
    </row>
    <row r="72" spans="1:4" x14ac:dyDescent="0.55000000000000004">
      <c r="A72" t="s">
        <v>1503</v>
      </c>
      <c r="B72" t="s">
        <v>1504</v>
      </c>
      <c r="C72" t="str">
        <f>"76.41"</f>
        <v>76.41</v>
      </c>
      <c r="D72" t="s">
        <v>1517</v>
      </c>
    </row>
    <row r="73" spans="1:4" x14ac:dyDescent="0.55000000000000004">
      <c r="A73" t="s">
        <v>1503</v>
      </c>
      <c r="B73" t="s">
        <v>1504</v>
      </c>
      <c r="C73" t="str">
        <f>"76.42"</f>
        <v>76.42</v>
      </c>
      <c r="D73" t="s">
        <v>1518</v>
      </c>
    </row>
    <row r="74" spans="1:4" x14ac:dyDescent="0.55000000000000004">
      <c r="A74" t="s">
        <v>1503</v>
      </c>
      <c r="B74" t="s">
        <v>1504</v>
      </c>
      <c r="C74" t="str">
        <f>"76.43"</f>
        <v>76.43</v>
      </c>
      <c r="D74" t="s">
        <v>1519</v>
      </c>
    </row>
    <row r="75" spans="1:4" x14ac:dyDescent="0.55000000000000004">
      <c r="A75" t="s">
        <v>1503</v>
      </c>
      <c r="B75" t="s">
        <v>1504</v>
      </c>
      <c r="C75" t="str">
        <f>"76.44"</f>
        <v>76.44</v>
      </c>
      <c r="D75" t="s">
        <v>1520</v>
      </c>
    </row>
    <row r="76" spans="1:4" x14ac:dyDescent="0.55000000000000004">
      <c r="A76" t="s">
        <v>1503</v>
      </c>
      <c r="B76" t="s">
        <v>1504</v>
      </c>
      <c r="C76" t="str">
        <f>"76.45"</f>
        <v>76.45</v>
      </c>
      <c r="D76" t="s">
        <v>1521</v>
      </c>
    </row>
    <row r="77" spans="1:4" x14ac:dyDescent="0.55000000000000004">
      <c r="A77" t="s">
        <v>1503</v>
      </c>
      <c r="B77" t="s">
        <v>1504</v>
      </c>
      <c r="C77" t="str">
        <f>"76.46"</f>
        <v>76.46</v>
      </c>
      <c r="D77" t="s">
        <v>1522</v>
      </c>
    </row>
    <row r="78" spans="1:4" x14ac:dyDescent="0.55000000000000004">
      <c r="A78" t="s">
        <v>1503</v>
      </c>
      <c r="B78" t="s">
        <v>1504</v>
      </c>
      <c r="C78" t="str">
        <f>"76.5"</f>
        <v>76.5</v>
      </c>
      <c r="D78" t="s">
        <v>1523</v>
      </c>
    </row>
    <row r="79" spans="1:4" x14ac:dyDescent="0.55000000000000004">
      <c r="A79" t="s">
        <v>1503</v>
      </c>
      <c r="B79" t="s">
        <v>1504</v>
      </c>
      <c r="C79" t="str">
        <f>"76.61"</f>
        <v>76.61</v>
      </c>
      <c r="D79" t="s">
        <v>1524</v>
      </c>
    </row>
    <row r="80" spans="1:4" x14ac:dyDescent="0.55000000000000004">
      <c r="A80" t="s">
        <v>1503</v>
      </c>
      <c r="B80" t="s">
        <v>1504</v>
      </c>
      <c r="C80" t="str">
        <f>"76.62"</f>
        <v>76.62</v>
      </c>
      <c r="D80" t="s">
        <v>1525</v>
      </c>
    </row>
    <row r="81" spans="1:4" x14ac:dyDescent="0.55000000000000004">
      <c r="A81" t="s">
        <v>1503</v>
      </c>
      <c r="B81" t="s">
        <v>1504</v>
      </c>
      <c r="C81" t="str">
        <f>"76.63"</f>
        <v>76.63</v>
      </c>
      <c r="D81" t="s">
        <v>1526</v>
      </c>
    </row>
    <row r="82" spans="1:4" x14ac:dyDescent="0.55000000000000004">
      <c r="A82" t="s">
        <v>1503</v>
      </c>
      <c r="B82" t="s">
        <v>1504</v>
      </c>
      <c r="C82" t="str">
        <f>"76.64"</f>
        <v>76.64</v>
      </c>
      <c r="D82" t="s">
        <v>1527</v>
      </c>
    </row>
    <row r="83" spans="1:4" x14ac:dyDescent="0.55000000000000004">
      <c r="A83" t="s">
        <v>1503</v>
      </c>
      <c r="B83" t="s">
        <v>1504</v>
      </c>
      <c r="C83" t="str">
        <f>"76.65"</f>
        <v>76.65</v>
      </c>
      <c r="D83" t="s">
        <v>1528</v>
      </c>
    </row>
    <row r="84" spans="1:4" x14ac:dyDescent="0.55000000000000004">
      <c r="A84" t="s">
        <v>1503</v>
      </c>
      <c r="B84" t="s">
        <v>1504</v>
      </c>
      <c r="C84" t="str">
        <f>"76.66"</f>
        <v>76.66</v>
      </c>
      <c r="D84" t="s">
        <v>1529</v>
      </c>
    </row>
    <row r="85" spans="1:4" x14ac:dyDescent="0.55000000000000004">
      <c r="A85" t="s">
        <v>1503</v>
      </c>
      <c r="B85" t="s">
        <v>1504</v>
      </c>
      <c r="C85" t="str">
        <f>"76.67"</f>
        <v>76.67</v>
      </c>
      <c r="D85" t="s">
        <v>1530</v>
      </c>
    </row>
    <row r="86" spans="1:4" x14ac:dyDescent="0.55000000000000004">
      <c r="A86" t="s">
        <v>1503</v>
      </c>
      <c r="B86" t="s">
        <v>1504</v>
      </c>
      <c r="C86" t="str">
        <f>"76.68"</f>
        <v>76.68</v>
      </c>
      <c r="D86" t="s">
        <v>1531</v>
      </c>
    </row>
    <row r="87" spans="1:4" x14ac:dyDescent="0.55000000000000004">
      <c r="A87" t="s">
        <v>1503</v>
      </c>
      <c r="B87" t="s">
        <v>1504</v>
      </c>
      <c r="C87" t="str">
        <f>"76.69"</f>
        <v>76.69</v>
      </c>
      <c r="D87" t="s">
        <v>1532</v>
      </c>
    </row>
    <row r="88" spans="1:4" x14ac:dyDescent="0.55000000000000004">
      <c r="A88" t="s">
        <v>1503</v>
      </c>
      <c r="B88" t="s">
        <v>1504</v>
      </c>
      <c r="C88" t="str">
        <f>"76.70"</f>
        <v>76.70</v>
      </c>
      <c r="D88" t="s">
        <v>1533</v>
      </c>
    </row>
    <row r="89" spans="1:4" x14ac:dyDescent="0.55000000000000004">
      <c r="A89" t="s">
        <v>1503</v>
      </c>
      <c r="B89" t="s">
        <v>1504</v>
      </c>
      <c r="C89" t="str">
        <f>"76.72"</f>
        <v>76.72</v>
      </c>
      <c r="D89" t="s">
        <v>1534</v>
      </c>
    </row>
    <row r="90" spans="1:4" x14ac:dyDescent="0.55000000000000004">
      <c r="A90" t="s">
        <v>1503</v>
      </c>
      <c r="B90" t="s">
        <v>1504</v>
      </c>
      <c r="C90" t="str">
        <f>"76.74"</f>
        <v>76.74</v>
      </c>
      <c r="D90" t="s">
        <v>1535</v>
      </c>
    </row>
    <row r="91" spans="1:4" x14ac:dyDescent="0.55000000000000004">
      <c r="A91" t="s">
        <v>1503</v>
      </c>
      <c r="B91" t="s">
        <v>1504</v>
      </c>
      <c r="C91" t="str">
        <f>"76.76"</f>
        <v>76.76</v>
      </c>
      <c r="D91" t="s">
        <v>1536</v>
      </c>
    </row>
    <row r="92" spans="1:4" x14ac:dyDescent="0.55000000000000004">
      <c r="A92" t="s">
        <v>1503</v>
      </c>
      <c r="B92" t="s">
        <v>1504</v>
      </c>
      <c r="C92" t="str">
        <f>"76.77"</f>
        <v>76.77</v>
      </c>
      <c r="D92" t="s">
        <v>1537</v>
      </c>
    </row>
    <row r="93" spans="1:4" x14ac:dyDescent="0.55000000000000004">
      <c r="A93" t="s">
        <v>1503</v>
      </c>
      <c r="B93" t="s">
        <v>1504</v>
      </c>
      <c r="C93" t="str">
        <f>"76.79"</f>
        <v>76.79</v>
      </c>
      <c r="D93" t="s">
        <v>1538</v>
      </c>
    </row>
    <row r="94" spans="1:4" x14ac:dyDescent="0.55000000000000004">
      <c r="A94" t="s">
        <v>1503</v>
      </c>
      <c r="B94" t="s">
        <v>1504</v>
      </c>
      <c r="C94" t="str">
        <f>"76.91"</f>
        <v>76.91</v>
      </c>
      <c r="D94" t="s">
        <v>1539</v>
      </c>
    </row>
    <row r="95" spans="1:4" x14ac:dyDescent="0.55000000000000004">
      <c r="A95" t="s">
        <v>1503</v>
      </c>
      <c r="B95" t="s">
        <v>1504</v>
      </c>
      <c r="C95" t="str">
        <f>"76.92"</f>
        <v>76.92</v>
      </c>
      <c r="D95" t="s">
        <v>1540</v>
      </c>
    </row>
    <row r="96" spans="1:4" x14ac:dyDescent="0.55000000000000004">
      <c r="A96" t="s">
        <v>1503</v>
      </c>
      <c r="B96" t="s">
        <v>1504</v>
      </c>
      <c r="C96" t="str">
        <f>"76.94"</f>
        <v>76.94</v>
      </c>
      <c r="D96" t="s">
        <v>1541</v>
      </c>
    </row>
    <row r="97" spans="1:4" x14ac:dyDescent="0.55000000000000004">
      <c r="A97" t="s">
        <v>1503</v>
      </c>
      <c r="B97" t="s">
        <v>1504</v>
      </c>
      <c r="C97" t="str">
        <f>"76.97"</f>
        <v>76.97</v>
      </c>
      <c r="D97" t="s">
        <v>1542</v>
      </c>
    </row>
    <row r="98" spans="1:4" x14ac:dyDescent="0.55000000000000004">
      <c r="A98" t="s">
        <v>1503</v>
      </c>
      <c r="B98" t="s">
        <v>1504</v>
      </c>
      <c r="C98" t="str">
        <f>"76.99"</f>
        <v>76.99</v>
      </c>
      <c r="D98" t="s">
        <v>1543</v>
      </c>
    </row>
    <row r="99" spans="1:4" x14ac:dyDescent="0.55000000000000004">
      <c r="A99" t="s">
        <v>1544</v>
      </c>
      <c r="B99" t="s">
        <v>1545</v>
      </c>
      <c r="C99" t="str">
        <f>"00.50"</f>
        <v>00.50</v>
      </c>
      <c r="D99" t="s">
        <v>1546</v>
      </c>
    </row>
    <row r="100" spans="1:4" x14ac:dyDescent="0.55000000000000004">
      <c r="A100" t="s">
        <v>1544</v>
      </c>
      <c r="B100" t="s">
        <v>1545</v>
      </c>
      <c r="C100" t="str">
        <f>"00.500"</f>
        <v>00.500</v>
      </c>
      <c r="D100" t="s">
        <v>1547</v>
      </c>
    </row>
    <row r="101" spans="1:4" x14ac:dyDescent="0.55000000000000004">
      <c r="A101" t="s">
        <v>1544</v>
      </c>
      <c r="B101" t="s">
        <v>1545</v>
      </c>
      <c r="C101" t="str">
        <f>"00.51"</f>
        <v>00.51</v>
      </c>
      <c r="D101" t="s">
        <v>1548</v>
      </c>
    </row>
    <row r="102" spans="1:4" x14ac:dyDescent="0.55000000000000004">
      <c r="A102" t="s">
        <v>1544</v>
      </c>
      <c r="B102" t="s">
        <v>1545</v>
      </c>
      <c r="C102" t="str">
        <f>"00.510"</f>
        <v>00.510</v>
      </c>
      <c r="D102" t="s">
        <v>1549</v>
      </c>
    </row>
    <row r="103" spans="1:4" x14ac:dyDescent="0.55000000000000004">
      <c r="A103" t="s">
        <v>1544</v>
      </c>
      <c r="B103" t="s">
        <v>1545</v>
      </c>
      <c r="C103" t="str">
        <f>"00.511"</f>
        <v>00.511</v>
      </c>
      <c r="D103" t="s">
        <v>1550</v>
      </c>
    </row>
    <row r="104" spans="1:4" x14ac:dyDescent="0.55000000000000004">
      <c r="A104" t="s">
        <v>1544</v>
      </c>
      <c r="B104" t="s">
        <v>1545</v>
      </c>
      <c r="C104" t="str">
        <f>"00.52"</f>
        <v>00.52</v>
      </c>
      <c r="D104" t="s">
        <v>1551</v>
      </c>
    </row>
    <row r="105" spans="1:4" x14ac:dyDescent="0.55000000000000004">
      <c r="A105" t="s">
        <v>1544</v>
      </c>
      <c r="B105" t="s">
        <v>1545</v>
      </c>
      <c r="C105" t="str">
        <f>"00.53"</f>
        <v>00.53</v>
      </c>
      <c r="D105" t="s">
        <v>1552</v>
      </c>
    </row>
    <row r="106" spans="1:4" x14ac:dyDescent="0.55000000000000004">
      <c r="A106" t="s">
        <v>1544</v>
      </c>
      <c r="B106" t="s">
        <v>1545</v>
      </c>
      <c r="C106" t="str">
        <f>"00.530"</f>
        <v>00.530</v>
      </c>
      <c r="D106" t="s">
        <v>1553</v>
      </c>
    </row>
    <row r="107" spans="1:4" x14ac:dyDescent="0.55000000000000004">
      <c r="A107" t="s">
        <v>1544</v>
      </c>
      <c r="B107" t="s">
        <v>1545</v>
      </c>
      <c r="C107" t="str">
        <f>"00.531"</f>
        <v>00.531</v>
      </c>
      <c r="D107" t="s">
        <v>1554</v>
      </c>
    </row>
    <row r="108" spans="1:4" x14ac:dyDescent="0.55000000000000004">
      <c r="A108" t="s">
        <v>1544</v>
      </c>
      <c r="B108" t="s">
        <v>1545</v>
      </c>
      <c r="C108" t="str">
        <f>"00.532"</f>
        <v>00.532</v>
      </c>
      <c r="D108" t="s">
        <v>1555</v>
      </c>
    </row>
    <row r="109" spans="1:4" x14ac:dyDescent="0.55000000000000004">
      <c r="A109" t="s">
        <v>1544</v>
      </c>
      <c r="B109" t="s">
        <v>1545</v>
      </c>
      <c r="C109" t="str">
        <f>"00.533"</f>
        <v>00.533</v>
      </c>
      <c r="D109" t="s">
        <v>1556</v>
      </c>
    </row>
    <row r="110" spans="1:4" x14ac:dyDescent="0.55000000000000004">
      <c r="A110" t="s">
        <v>1544</v>
      </c>
      <c r="B110" t="s">
        <v>1545</v>
      </c>
      <c r="C110" t="str">
        <f>"00.534"</f>
        <v>00.534</v>
      </c>
      <c r="D110" t="s">
        <v>1557</v>
      </c>
    </row>
    <row r="111" spans="1:4" x14ac:dyDescent="0.55000000000000004">
      <c r="A111" t="s">
        <v>1544</v>
      </c>
      <c r="B111" t="s">
        <v>1545</v>
      </c>
      <c r="C111" t="str">
        <f>"00.54"</f>
        <v>00.54</v>
      </c>
      <c r="D111" t="s">
        <v>1558</v>
      </c>
    </row>
    <row r="112" spans="1:4" x14ac:dyDescent="0.55000000000000004">
      <c r="A112" t="s">
        <v>1544</v>
      </c>
      <c r="B112" t="s">
        <v>1545</v>
      </c>
      <c r="C112" t="str">
        <f>"07.80"</f>
        <v>07.80</v>
      </c>
      <c r="D112" t="s">
        <v>1559</v>
      </c>
    </row>
    <row r="113" spans="1:4" x14ac:dyDescent="0.55000000000000004">
      <c r="A113" t="s">
        <v>1544</v>
      </c>
      <c r="B113" t="s">
        <v>1545</v>
      </c>
      <c r="C113" t="str">
        <f>"07.800"</f>
        <v>07.800</v>
      </c>
      <c r="D113" t="s">
        <v>1560</v>
      </c>
    </row>
    <row r="114" spans="1:4" x14ac:dyDescent="0.55000000000000004">
      <c r="A114" t="s">
        <v>1544</v>
      </c>
      <c r="B114" t="s">
        <v>1545</v>
      </c>
      <c r="C114" t="str">
        <f>"07.81"</f>
        <v>07.81</v>
      </c>
      <c r="D114" t="s">
        <v>1561</v>
      </c>
    </row>
    <row r="115" spans="1:4" x14ac:dyDescent="0.55000000000000004">
      <c r="A115" t="s">
        <v>1544</v>
      </c>
      <c r="B115" t="s">
        <v>1545</v>
      </c>
      <c r="C115" t="str">
        <f>"07.82"</f>
        <v>07.82</v>
      </c>
      <c r="D115" t="s">
        <v>1562</v>
      </c>
    </row>
    <row r="116" spans="1:4" x14ac:dyDescent="0.55000000000000004">
      <c r="A116" t="s">
        <v>1544</v>
      </c>
      <c r="B116" t="s">
        <v>1545</v>
      </c>
      <c r="C116" t="str">
        <f>"07.83"</f>
        <v>07.83</v>
      </c>
      <c r="D116" t="s">
        <v>1563</v>
      </c>
    </row>
    <row r="117" spans="1:4" x14ac:dyDescent="0.55000000000000004">
      <c r="A117" t="s">
        <v>1544</v>
      </c>
      <c r="B117" t="s">
        <v>1545</v>
      </c>
      <c r="C117" t="str">
        <f>"07.84"</f>
        <v>07.84</v>
      </c>
      <c r="D117" t="s">
        <v>1564</v>
      </c>
    </row>
    <row r="118" spans="1:4" x14ac:dyDescent="0.55000000000000004">
      <c r="A118" t="s">
        <v>1544</v>
      </c>
      <c r="B118" t="s">
        <v>1545</v>
      </c>
      <c r="C118" t="str">
        <f>"07.91"</f>
        <v>07.91</v>
      </c>
      <c r="D118" t="s">
        <v>1565</v>
      </c>
    </row>
    <row r="119" spans="1:4" x14ac:dyDescent="0.55000000000000004">
      <c r="A119" t="s">
        <v>1544</v>
      </c>
      <c r="B119" t="s">
        <v>1545</v>
      </c>
      <c r="C119" t="str">
        <f>"07.92"</f>
        <v>07.92</v>
      </c>
      <c r="D119" t="s">
        <v>1566</v>
      </c>
    </row>
    <row r="120" spans="1:4" x14ac:dyDescent="0.55000000000000004">
      <c r="A120" t="s">
        <v>1544</v>
      </c>
      <c r="B120" t="s">
        <v>1545</v>
      </c>
      <c r="C120" t="str">
        <f>"07.93"</f>
        <v>07.93</v>
      </c>
      <c r="D120" t="s">
        <v>1567</v>
      </c>
    </row>
    <row r="121" spans="1:4" x14ac:dyDescent="0.55000000000000004">
      <c r="A121" t="s">
        <v>1544</v>
      </c>
      <c r="B121" t="s">
        <v>1545</v>
      </c>
      <c r="C121" t="str">
        <f>"07.94"</f>
        <v>07.94</v>
      </c>
      <c r="D121" t="s">
        <v>1568</v>
      </c>
    </row>
    <row r="122" spans="1:4" x14ac:dyDescent="0.55000000000000004">
      <c r="A122" t="s">
        <v>1544</v>
      </c>
      <c r="B122" t="s">
        <v>1545</v>
      </c>
      <c r="C122" t="str">
        <f>"07.95"</f>
        <v>07.95</v>
      </c>
      <c r="D122" t="s">
        <v>1569</v>
      </c>
    </row>
    <row r="123" spans="1:4" x14ac:dyDescent="0.55000000000000004">
      <c r="A123" t="s">
        <v>1544</v>
      </c>
      <c r="B123" t="s">
        <v>1545</v>
      </c>
      <c r="C123" t="str">
        <f>"07.98"</f>
        <v>07.98</v>
      </c>
      <c r="D123" t="s">
        <v>1570</v>
      </c>
    </row>
    <row r="124" spans="1:4" x14ac:dyDescent="0.55000000000000004">
      <c r="A124" t="s">
        <v>1544</v>
      </c>
      <c r="B124" t="s">
        <v>1545</v>
      </c>
      <c r="C124" t="str">
        <f>"07.99"</f>
        <v>07.99</v>
      </c>
      <c r="D124" t="s">
        <v>1571</v>
      </c>
    </row>
    <row r="125" spans="1:4" x14ac:dyDescent="0.55000000000000004">
      <c r="A125" t="s">
        <v>1544</v>
      </c>
      <c r="B125" t="s">
        <v>1545</v>
      </c>
      <c r="C125" t="str">
        <f>"17.69"</f>
        <v>17.69</v>
      </c>
      <c r="D125" t="s">
        <v>1572</v>
      </c>
    </row>
    <row r="126" spans="1:4" x14ac:dyDescent="0.55000000000000004">
      <c r="A126" t="s">
        <v>1544</v>
      </c>
      <c r="B126" t="s">
        <v>1545</v>
      </c>
      <c r="C126" t="str">
        <f>"32.20"</f>
        <v>32.20</v>
      </c>
      <c r="D126" t="s">
        <v>1573</v>
      </c>
    </row>
    <row r="127" spans="1:4" x14ac:dyDescent="0.55000000000000004">
      <c r="A127" t="s">
        <v>1544</v>
      </c>
      <c r="B127" t="s">
        <v>1545</v>
      </c>
      <c r="C127" t="str">
        <f>"32.200"</f>
        <v>32.200</v>
      </c>
      <c r="D127" t="s">
        <v>1574</v>
      </c>
    </row>
    <row r="128" spans="1:4" x14ac:dyDescent="0.55000000000000004">
      <c r="A128" t="s">
        <v>1544</v>
      </c>
      <c r="B128" t="s">
        <v>1545</v>
      </c>
      <c r="C128" t="str">
        <f>"32.23"</f>
        <v>32.23</v>
      </c>
      <c r="D128" t="s">
        <v>1575</v>
      </c>
    </row>
    <row r="129" spans="1:4" x14ac:dyDescent="0.55000000000000004">
      <c r="A129" t="s">
        <v>1544</v>
      </c>
      <c r="B129" t="s">
        <v>1545</v>
      </c>
      <c r="C129" t="str">
        <f>"32.25"</f>
        <v>32.25</v>
      </c>
      <c r="D129" t="s">
        <v>1576</v>
      </c>
    </row>
    <row r="130" spans="1:4" x14ac:dyDescent="0.55000000000000004">
      <c r="A130" t="s">
        <v>1544</v>
      </c>
      <c r="B130" t="s">
        <v>1545</v>
      </c>
      <c r="C130" t="str">
        <f>"32.26"</f>
        <v>32.26</v>
      </c>
      <c r="D130" t="s">
        <v>1577</v>
      </c>
    </row>
    <row r="131" spans="1:4" x14ac:dyDescent="0.55000000000000004">
      <c r="A131" t="s">
        <v>1544</v>
      </c>
      <c r="B131" t="s">
        <v>1545</v>
      </c>
      <c r="C131" t="str">
        <f>"32.29"</f>
        <v>32.29</v>
      </c>
      <c r="D131" t="s">
        <v>1578</v>
      </c>
    </row>
    <row r="132" spans="1:4" x14ac:dyDescent="0.55000000000000004">
      <c r="A132" t="s">
        <v>1544</v>
      </c>
      <c r="B132" t="s">
        <v>1545</v>
      </c>
      <c r="C132" t="str">
        <f>"32.30"</f>
        <v>32.30</v>
      </c>
      <c r="D132" t="s">
        <v>1579</v>
      </c>
    </row>
    <row r="133" spans="1:4" x14ac:dyDescent="0.55000000000000004">
      <c r="A133" t="s">
        <v>1544</v>
      </c>
      <c r="B133" t="s">
        <v>1545</v>
      </c>
      <c r="C133" t="str">
        <f>"32.39"</f>
        <v>32.39</v>
      </c>
      <c r="D133" t="s">
        <v>1580</v>
      </c>
    </row>
    <row r="134" spans="1:4" x14ac:dyDescent="0.55000000000000004">
      <c r="A134" t="s">
        <v>1544</v>
      </c>
      <c r="B134" t="s">
        <v>1545</v>
      </c>
      <c r="C134" t="str">
        <f>"32.41"</f>
        <v>32.41</v>
      </c>
      <c r="D134" t="s">
        <v>1581</v>
      </c>
    </row>
    <row r="135" spans="1:4" x14ac:dyDescent="0.55000000000000004">
      <c r="A135" t="s">
        <v>1544</v>
      </c>
      <c r="B135" t="s">
        <v>1545</v>
      </c>
      <c r="C135" t="str">
        <f>"32.410"</f>
        <v>32.410</v>
      </c>
      <c r="D135" t="s">
        <v>1582</v>
      </c>
    </row>
    <row r="136" spans="1:4" x14ac:dyDescent="0.55000000000000004">
      <c r="A136" t="s">
        <v>1544</v>
      </c>
      <c r="B136" t="s">
        <v>1545</v>
      </c>
      <c r="C136" t="str">
        <f>"32.411"</f>
        <v>32.411</v>
      </c>
      <c r="D136" t="s">
        <v>1583</v>
      </c>
    </row>
    <row r="137" spans="1:4" x14ac:dyDescent="0.55000000000000004">
      <c r="A137" t="s">
        <v>1544</v>
      </c>
      <c r="B137" t="s">
        <v>1545</v>
      </c>
      <c r="C137" t="str">
        <f>"32.412"</f>
        <v>32.412</v>
      </c>
      <c r="D137" t="s">
        <v>1584</v>
      </c>
    </row>
    <row r="138" spans="1:4" x14ac:dyDescent="0.55000000000000004">
      <c r="A138" t="s">
        <v>1544</v>
      </c>
      <c r="B138" t="s">
        <v>1545</v>
      </c>
      <c r="C138" t="str">
        <f>"32.49"</f>
        <v>32.49</v>
      </c>
      <c r="D138" t="s">
        <v>1585</v>
      </c>
    </row>
    <row r="139" spans="1:4" x14ac:dyDescent="0.55000000000000004">
      <c r="A139" t="s">
        <v>1544</v>
      </c>
      <c r="B139" t="s">
        <v>1545</v>
      </c>
      <c r="C139" t="str">
        <f>"32.50"</f>
        <v>32.50</v>
      </c>
      <c r="D139" t="s">
        <v>1586</v>
      </c>
    </row>
    <row r="140" spans="1:4" x14ac:dyDescent="0.55000000000000004">
      <c r="A140" t="s">
        <v>1544</v>
      </c>
      <c r="B140" t="s">
        <v>1545</v>
      </c>
      <c r="C140" t="str">
        <f>"32.500"</f>
        <v>32.500</v>
      </c>
      <c r="D140" t="s">
        <v>1587</v>
      </c>
    </row>
    <row r="141" spans="1:4" x14ac:dyDescent="0.55000000000000004">
      <c r="A141" t="s">
        <v>1544</v>
      </c>
      <c r="B141" t="s">
        <v>1545</v>
      </c>
      <c r="C141" t="str">
        <f>"32.501"</f>
        <v>32.501</v>
      </c>
      <c r="D141" t="s">
        <v>1588</v>
      </c>
    </row>
    <row r="142" spans="1:4" x14ac:dyDescent="0.55000000000000004">
      <c r="A142" t="s">
        <v>1544</v>
      </c>
      <c r="B142" t="s">
        <v>1545</v>
      </c>
      <c r="C142" t="str">
        <f>"32.59"</f>
        <v>32.59</v>
      </c>
      <c r="D142" t="s">
        <v>1589</v>
      </c>
    </row>
    <row r="143" spans="1:4" x14ac:dyDescent="0.55000000000000004">
      <c r="A143" t="s">
        <v>1544</v>
      </c>
      <c r="B143" t="s">
        <v>1545</v>
      </c>
      <c r="C143" t="str">
        <f>"32.9"</f>
        <v>32.9</v>
      </c>
      <c r="D143" t="s">
        <v>1590</v>
      </c>
    </row>
    <row r="144" spans="1:4" x14ac:dyDescent="0.55000000000000004">
      <c r="A144" t="s">
        <v>1544</v>
      </c>
      <c r="B144" t="s">
        <v>1545</v>
      </c>
      <c r="C144" t="str">
        <f>"33.41"</f>
        <v>33.41</v>
      </c>
      <c r="D144" t="s">
        <v>1591</v>
      </c>
    </row>
    <row r="145" spans="1:4" x14ac:dyDescent="0.55000000000000004">
      <c r="A145" t="s">
        <v>1544</v>
      </c>
      <c r="B145" t="s">
        <v>1545</v>
      </c>
      <c r="C145" t="str">
        <f>"33.42"</f>
        <v>33.42</v>
      </c>
      <c r="D145" t="s">
        <v>1592</v>
      </c>
    </row>
    <row r="146" spans="1:4" x14ac:dyDescent="0.55000000000000004">
      <c r="A146" t="s">
        <v>1544</v>
      </c>
      <c r="B146" t="s">
        <v>1545</v>
      </c>
      <c r="C146" t="str">
        <f>"33.43"</f>
        <v>33.43</v>
      </c>
      <c r="D146" t="s">
        <v>1593</v>
      </c>
    </row>
    <row r="147" spans="1:4" x14ac:dyDescent="0.55000000000000004">
      <c r="A147" t="s">
        <v>1544</v>
      </c>
      <c r="B147" t="s">
        <v>1545</v>
      </c>
      <c r="C147" t="str">
        <f>"33.48"</f>
        <v>33.48</v>
      </c>
      <c r="D147" t="s">
        <v>1594</v>
      </c>
    </row>
    <row r="148" spans="1:4" x14ac:dyDescent="0.55000000000000004">
      <c r="A148" t="s">
        <v>1544</v>
      </c>
      <c r="B148" t="s">
        <v>1545</v>
      </c>
      <c r="C148" t="str">
        <f>"33.481"</f>
        <v>33.481</v>
      </c>
      <c r="D148" t="s">
        <v>1595</v>
      </c>
    </row>
    <row r="149" spans="1:4" x14ac:dyDescent="0.55000000000000004">
      <c r="A149" t="s">
        <v>1544</v>
      </c>
      <c r="B149" t="s">
        <v>1545</v>
      </c>
      <c r="C149" t="str">
        <f>"33.49"</f>
        <v>33.49</v>
      </c>
      <c r="D149" t="s">
        <v>1596</v>
      </c>
    </row>
    <row r="150" spans="1:4" x14ac:dyDescent="0.55000000000000004">
      <c r="A150" t="s">
        <v>1544</v>
      </c>
      <c r="B150" t="s">
        <v>1545</v>
      </c>
      <c r="C150" t="str">
        <f>"34.02"</f>
        <v>34.02</v>
      </c>
      <c r="D150" t="s">
        <v>1597</v>
      </c>
    </row>
    <row r="151" spans="1:4" x14ac:dyDescent="0.55000000000000004">
      <c r="A151" t="s">
        <v>1544</v>
      </c>
      <c r="B151" t="s">
        <v>1545</v>
      </c>
      <c r="C151" t="str">
        <f>"34.03"</f>
        <v>34.03</v>
      </c>
      <c r="D151" t="s">
        <v>1598</v>
      </c>
    </row>
    <row r="152" spans="1:4" x14ac:dyDescent="0.55000000000000004">
      <c r="A152" t="s">
        <v>1544</v>
      </c>
      <c r="B152" t="s">
        <v>1545</v>
      </c>
      <c r="C152" t="str">
        <f>"34.1"</f>
        <v>34.1</v>
      </c>
      <c r="D152" t="s">
        <v>1599</v>
      </c>
    </row>
    <row r="153" spans="1:4" x14ac:dyDescent="0.55000000000000004">
      <c r="A153" t="s">
        <v>1544</v>
      </c>
      <c r="B153" t="s">
        <v>1545</v>
      </c>
      <c r="C153" t="str">
        <f>"34.21"</f>
        <v>34.21</v>
      </c>
      <c r="D153" t="s">
        <v>1600</v>
      </c>
    </row>
    <row r="154" spans="1:4" x14ac:dyDescent="0.55000000000000004">
      <c r="A154" t="s">
        <v>1544</v>
      </c>
      <c r="B154" t="s">
        <v>1545</v>
      </c>
      <c r="C154" t="str">
        <f>"34.210"</f>
        <v>34.210</v>
      </c>
      <c r="D154" t="s">
        <v>1601</v>
      </c>
    </row>
    <row r="155" spans="1:4" x14ac:dyDescent="0.55000000000000004">
      <c r="A155" t="s">
        <v>1544</v>
      </c>
      <c r="B155" t="s">
        <v>1545</v>
      </c>
      <c r="C155" t="str">
        <f>"34.211"</f>
        <v>34.211</v>
      </c>
      <c r="D155" t="s">
        <v>1602</v>
      </c>
    </row>
    <row r="156" spans="1:4" x14ac:dyDescent="0.55000000000000004">
      <c r="A156" t="s">
        <v>1544</v>
      </c>
      <c r="B156" t="s">
        <v>1545</v>
      </c>
      <c r="C156" t="str">
        <f>"34.22"</f>
        <v>34.22</v>
      </c>
      <c r="D156" t="s">
        <v>1603</v>
      </c>
    </row>
    <row r="157" spans="1:4" x14ac:dyDescent="0.55000000000000004">
      <c r="A157" t="s">
        <v>1544</v>
      </c>
      <c r="B157" t="s">
        <v>1545</v>
      </c>
      <c r="C157" t="str">
        <f>"34.79"</f>
        <v>34.79</v>
      </c>
      <c r="D157" t="s">
        <v>1604</v>
      </c>
    </row>
    <row r="158" spans="1:4" x14ac:dyDescent="0.55000000000000004">
      <c r="A158" t="s">
        <v>1544</v>
      </c>
      <c r="B158" t="s">
        <v>1545</v>
      </c>
      <c r="C158" t="str">
        <f>"34.82"</f>
        <v>34.82</v>
      </c>
      <c r="D158" t="s">
        <v>1605</v>
      </c>
    </row>
    <row r="159" spans="1:4" x14ac:dyDescent="0.55000000000000004">
      <c r="A159" t="s">
        <v>1544</v>
      </c>
      <c r="B159" t="s">
        <v>1545</v>
      </c>
      <c r="C159" t="str">
        <f>"34.83"</f>
        <v>34.83</v>
      </c>
      <c r="D159" t="s">
        <v>1606</v>
      </c>
    </row>
    <row r="160" spans="1:4" x14ac:dyDescent="0.55000000000000004">
      <c r="A160" t="s">
        <v>1544</v>
      </c>
      <c r="B160" t="s">
        <v>1545</v>
      </c>
      <c r="C160" t="str">
        <f>"34.84"</f>
        <v>34.84</v>
      </c>
      <c r="D160" t="s">
        <v>1607</v>
      </c>
    </row>
    <row r="161" spans="1:4" x14ac:dyDescent="0.55000000000000004">
      <c r="A161" t="s">
        <v>1544</v>
      </c>
      <c r="B161" t="s">
        <v>1545</v>
      </c>
      <c r="C161" t="str">
        <f>"34.840"</f>
        <v>34.840</v>
      </c>
      <c r="D161" t="s">
        <v>1608</v>
      </c>
    </row>
    <row r="162" spans="1:4" x14ac:dyDescent="0.55000000000000004">
      <c r="A162" t="s">
        <v>1544</v>
      </c>
      <c r="B162" t="s">
        <v>1545</v>
      </c>
      <c r="C162" t="str">
        <f>"34.93"</f>
        <v>34.93</v>
      </c>
      <c r="D162" t="s">
        <v>1609</v>
      </c>
    </row>
    <row r="163" spans="1:4" x14ac:dyDescent="0.55000000000000004">
      <c r="A163" t="s">
        <v>1544</v>
      </c>
      <c r="B163" t="s">
        <v>1545</v>
      </c>
      <c r="C163" t="str">
        <f>"37.12"</f>
        <v>37.12</v>
      </c>
      <c r="D163" t="s">
        <v>1610</v>
      </c>
    </row>
    <row r="164" spans="1:4" x14ac:dyDescent="0.55000000000000004">
      <c r="A164" t="s">
        <v>1544</v>
      </c>
      <c r="B164" t="s">
        <v>1545</v>
      </c>
      <c r="C164" t="str">
        <f>"37.120"</f>
        <v>37.120</v>
      </c>
      <c r="D164" t="s">
        <v>1611</v>
      </c>
    </row>
    <row r="165" spans="1:4" x14ac:dyDescent="0.55000000000000004">
      <c r="A165" t="s">
        <v>1544</v>
      </c>
      <c r="B165" t="s">
        <v>1545</v>
      </c>
      <c r="C165" t="str">
        <f>"37.41"</f>
        <v>37.41</v>
      </c>
      <c r="D165" t="s">
        <v>1612</v>
      </c>
    </row>
    <row r="166" spans="1:4" x14ac:dyDescent="0.55000000000000004">
      <c r="A166" t="s">
        <v>1544</v>
      </c>
      <c r="B166" t="s">
        <v>1545</v>
      </c>
      <c r="C166" t="str">
        <f>"37.49"</f>
        <v>37.49</v>
      </c>
      <c r="D166" t="s">
        <v>1613</v>
      </c>
    </row>
    <row r="167" spans="1:4" x14ac:dyDescent="0.55000000000000004">
      <c r="A167" t="s">
        <v>1544</v>
      </c>
      <c r="B167" t="s">
        <v>1545</v>
      </c>
      <c r="C167" t="str">
        <f>"37.91"</f>
        <v>37.91</v>
      </c>
      <c r="D167" t="s">
        <v>1614</v>
      </c>
    </row>
    <row r="168" spans="1:4" x14ac:dyDescent="0.55000000000000004">
      <c r="A168" t="s">
        <v>1544</v>
      </c>
      <c r="B168" t="s">
        <v>1545</v>
      </c>
      <c r="C168" t="str">
        <f>"38.35"</f>
        <v>38.35</v>
      </c>
      <c r="D168" t="s">
        <v>1615</v>
      </c>
    </row>
    <row r="169" spans="1:4" x14ac:dyDescent="0.55000000000000004">
      <c r="A169" t="s">
        <v>1544</v>
      </c>
      <c r="B169" t="s">
        <v>1545</v>
      </c>
      <c r="C169" t="str">
        <f>"38.45"</f>
        <v>38.45</v>
      </c>
      <c r="D169" t="s">
        <v>1616</v>
      </c>
    </row>
    <row r="170" spans="1:4" x14ac:dyDescent="0.55000000000000004">
      <c r="A170" t="s">
        <v>1544</v>
      </c>
      <c r="B170" t="s">
        <v>1545</v>
      </c>
      <c r="C170" t="str">
        <f>"38.450"</f>
        <v>38.450</v>
      </c>
      <c r="D170" t="s">
        <v>1617</v>
      </c>
    </row>
    <row r="171" spans="1:4" x14ac:dyDescent="0.55000000000000004">
      <c r="A171" t="s">
        <v>1544</v>
      </c>
      <c r="B171" t="s">
        <v>1545</v>
      </c>
      <c r="C171" t="str">
        <f>"38.65"</f>
        <v>38.65</v>
      </c>
      <c r="D171" t="s">
        <v>1618</v>
      </c>
    </row>
    <row r="172" spans="1:4" x14ac:dyDescent="0.55000000000000004">
      <c r="A172" t="s">
        <v>1544</v>
      </c>
      <c r="B172" t="s">
        <v>1545</v>
      </c>
      <c r="C172" t="str">
        <f>"38.7"</f>
        <v>38.7</v>
      </c>
      <c r="D172" t="s">
        <v>1619</v>
      </c>
    </row>
    <row r="173" spans="1:4" x14ac:dyDescent="0.55000000000000004">
      <c r="A173" t="s">
        <v>1544</v>
      </c>
      <c r="B173" t="s">
        <v>1545</v>
      </c>
      <c r="C173" t="str">
        <f>"38.70"</f>
        <v>38.70</v>
      </c>
      <c r="D173" t="s">
        <v>1620</v>
      </c>
    </row>
    <row r="174" spans="1:4" x14ac:dyDescent="0.55000000000000004">
      <c r="A174" t="s">
        <v>1544</v>
      </c>
      <c r="B174" t="s">
        <v>1545</v>
      </c>
      <c r="C174" t="str">
        <f>"38.85"</f>
        <v>38.85</v>
      </c>
      <c r="D174" t="s">
        <v>1621</v>
      </c>
    </row>
    <row r="175" spans="1:4" x14ac:dyDescent="0.55000000000000004">
      <c r="A175" t="s">
        <v>1544</v>
      </c>
      <c r="B175" t="s">
        <v>1545</v>
      </c>
      <c r="C175" t="str">
        <f>"38.850"</f>
        <v>38.850</v>
      </c>
      <c r="D175" t="s">
        <v>1622</v>
      </c>
    </row>
    <row r="176" spans="1:4" x14ac:dyDescent="0.55000000000000004">
      <c r="A176" t="s">
        <v>1544</v>
      </c>
      <c r="B176" t="s">
        <v>1545</v>
      </c>
      <c r="C176" t="str">
        <f>"38.851"</f>
        <v>38.851</v>
      </c>
      <c r="D176" t="s">
        <v>1623</v>
      </c>
    </row>
    <row r="177" spans="1:4" x14ac:dyDescent="0.55000000000000004">
      <c r="A177" t="s">
        <v>1544</v>
      </c>
      <c r="B177" t="s">
        <v>1545</v>
      </c>
      <c r="C177" t="str">
        <f>"39.22"</f>
        <v>39.22</v>
      </c>
      <c r="D177" t="s">
        <v>1624</v>
      </c>
    </row>
    <row r="178" spans="1:4" x14ac:dyDescent="0.55000000000000004">
      <c r="A178" t="s">
        <v>1544</v>
      </c>
      <c r="B178" t="s">
        <v>1545</v>
      </c>
      <c r="C178" t="str">
        <f>"39.23"</f>
        <v>39.23</v>
      </c>
      <c r="D178" t="s">
        <v>1625</v>
      </c>
    </row>
    <row r="179" spans="1:4" x14ac:dyDescent="0.55000000000000004">
      <c r="A179" t="s">
        <v>1544</v>
      </c>
      <c r="B179" t="s">
        <v>1545</v>
      </c>
      <c r="C179" t="str">
        <f>"39.54"</f>
        <v>39.54</v>
      </c>
      <c r="D179" t="s">
        <v>1626</v>
      </c>
    </row>
    <row r="180" spans="1:4" x14ac:dyDescent="0.55000000000000004">
      <c r="A180" t="s">
        <v>1544</v>
      </c>
      <c r="B180" t="s">
        <v>1545</v>
      </c>
      <c r="C180" t="str">
        <f>"40.61"</f>
        <v>40.61</v>
      </c>
      <c r="D180" t="s">
        <v>1627</v>
      </c>
    </row>
    <row r="181" spans="1:4" x14ac:dyDescent="0.55000000000000004">
      <c r="A181" t="s">
        <v>1544</v>
      </c>
      <c r="B181" t="s">
        <v>1545</v>
      </c>
      <c r="C181" t="str">
        <f>"40.62"</f>
        <v>40.62</v>
      </c>
      <c r="D181" t="s">
        <v>1628</v>
      </c>
    </row>
    <row r="182" spans="1:4" x14ac:dyDescent="0.55000000000000004">
      <c r="A182" t="s">
        <v>1544</v>
      </c>
      <c r="B182" t="s">
        <v>1545</v>
      </c>
      <c r="C182" t="str">
        <f>"40.63"</f>
        <v>40.63</v>
      </c>
      <c r="D182" t="s">
        <v>1629</v>
      </c>
    </row>
    <row r="183" spans="1:4" x14ac:dyDescent="0.55000000000000004">
      <c r="A183" t="s">
        <v>1544</v>
      </c>
      <c r="B183" t="s">
        <v>1545</v>
      </c>
      <c r="C183" t="str">
        <f>"40.64"</f>
        <v>40.64</v>
      </c>
      <c r="D183" t="s">
        <v>1630</v>
      </c>
    </row>
    <row r="184" spans="1:4" x14ac:dyDescent="0.55000000000000004">
      <c r="A184" t="s">
        <v>1544</v>
      </c>
      <c r="B184" t="s">
        <v>1545</v>
      </c>
      <c r="C184" t="str">
        <f>"40.69"</f>
        <v>40.69</v>
      </c>
      <c r="D184" t="s">
        <v>1631</v>
      </c>
    </row>
    <row r="185" spans="1:4" x14ac:dyDescent="0.55000000000000004">
      <c r="A185" t="s">
        <v>1544</v>
      </c>
      <c r="B185" t="s">
        <v>1545</v>
      </c>
      <c r="C185" t="str">
        <f>"42.09"</f>
        <v>42.09</v>
      </c>
      <c r="D185" t="s">
        <v>1632</v>
      </c>
    </row>
    <row r="186" spans="1:4" x14ac:dyDescent="0.55000000000000004">
      <c r="A186" t="s">
        <v>1544</v>
      </c>
      <c r="B186" t="s">
        <v>1545</v>
      </c>
      <c r="C186" t="str">
        <f>"42.40"</f>
        <v>42.40</v>
      </c>
      <c r="D186" t="s">
        <v>1633</v>
      </c>
    </row>
    <row r="187" spans="1:4" x14ac:dyDescent="0.55000000000000004">
      <c r="A187" t="s">
        <v>1544</v>
      </c>
      <c r="B187" t="s">
        <v>1545</v>
      </c>
      <c r="C187" t="str">
        <f>"42.41"</f>
        <v>42.41</v>
      </c>
      <c r="D187" t="s">
        <v>1634</v>
      </c>
    </row>
    <row r="188" spans="1:4" x14ac:dyDescent="0.55000000000000004">
      <c r="A188" t="s">
        <v>1544</v>
      </c>
      <c r="B188" t="s">
        <v>1545</v>
      </c>
      <c r="C188" t="str">
        <f>"42.42"</f>
        <v>42.42</v>
      </c>
      <c r="D188" t="s">
        <v>1635</v>
      </c>
    </row>
    <row r="189" spans="1:4" x14ac:dyDescent="0.55000000000000004">
      <c r="A189" t="s">
        <v>1544</v>
      </c>
      <c r="B189" t="s">
        <v>1545</v>
      </c>
      <c r="C189" t="str">
        <f>"42.420"</f>
        <v>42.420</v>
      </c>
      <c r="D189" t="s">
        <v>1636</v>
      </c>
    </row>
    <row r="190" spans="1:4" x14ac:dyDescent="0.55000000000000004">
      <c r="A190" t="s">
        <v>1544</v>
      </c>
      <c r="B190" t="s">
        <v>1545</v>
      </c>
      <c r="C190" t="str">
        <f>"42.421"</f>
        <v>42.421</v>
      </c>
      <c r="D190" t="s">
        <v>1637</v>
      </c>
    </row>
    <row r="191" spans="1:4" x14ac:dyDescent="0.55000000000000004">
      <c r="A191" t="s">
        <v>1544</v>
      </c>
      <c r="B191" t="s">
        <v>1545</v>
      </c>
      <c r="C191" t="str">
        <f>"42.51"</f>
        <v>42.51</v>
      </c>
      <c r="D191" t="s">
        <v>1638</v>
      </c>
    </row>
    <row r="192" spans="1:4" x14ac:dyDescent="0.55000000000000004">
      <c r="A192" t="s">
        <v>1544</v>
      </c>
      <c r="B192" t="s">
        <v>1545</v>
      </c>
      <c r="C192" t="str">
        <f>"42.52"</f>
        <v>42.52</v>
      </c>
      <c r="D192" t="s">
        <v>1639</v>
      </c>
    </row>
    <row r="193" spans="1:4" x14ac:dyDescent="0.55000000000000004">
      <c r="A193" t="s">
        <v>1544</v>
      </c>
      <c r="B193" t="s">
        <v>1545</v>
      </c>
      <c r="C193" t="str">
        <f>"42.53"</f>
        <v>42.53</v>
      </c>
      <c r="D193" t="s">
        <v>1640</v>
      </c>
    </row>
    <row r="194" spans="1:4" x14ac:dyDescent="0.55000000000000004">
      <c r="A194" t="s">
        <v>1544</v>
      </c>
      <c r="B194" t="s">
        <v>1545</v>
      </c>
      <c r="C194" t="str">
        <f>"42.54"</f>
        <v>42.54</v>
      </c>
      <c r="D194" t="s">
        <v>1641</v>
      </c>
    </row>
    <row r="195" spans="1:4" x14ac:dyDescent="0.55000000000000004">
      <c r="A195" t="s">
        <v>1544</v>
      </c>
      <c r="B195" t="s">
        <v>1545</v>
      </c>
      <c r="C195" t="str">
        <f>"42.55"</f>
        <v>42.55</v>
      </c>
      <c r="D195" t="s">
        <v>1642</v>
      </c>
    </row>
    <row r="196" spans="1:4" x14ac:dyDescent="0.55000000000000004">
      <c r="A196" t="s">
        <v>1544</v>
      </c>
      <c r="B196" t="s">
        <v>1545</v>
      </c>
      <c r="C196" t="str">
        <f>"42.56"</f>
        <v>42.56</v>
      </c>
      <c r="D196" t="s">
        <v>1643</v>
      </c>
    </row>
    <row r="197" spans="1:4" x14ac:dyDescent="0.55000000000000004">
      <c r="A197" t="s">
        <v>1544</v>
      </c>
      <c r="B197" t="s">
        <v>1545</v>
      </c>
      <c r="C197" t="str">
        <f>"42.58"</f>
        <v>42.58</v>
      </c>
      <c r="D197" t="s">
        <v>1644</v>
      </c>
    </row>
    <row r="198" spans="1:4" x14ac:dyDescent="0.55000000000000004">
      <c r="A198" t="s">
        <v>1544</v>
      </c>
      <c r="B198" t="s">
        <v>1545</v>
      </c>
      <c r="C198" t="str">
        <f>"42.59"</f>
        <v>42.59</v>
      </c>
      <c r="D198" t="s">
        <v>1645</v>
      </c>
    </row>
    <row r="199" spans="1:4" x14ac:dyDescent="0.55000000000000004">
      <c r="A199" t="s">
        <v>1544</v>
      </c>
      <c r="B199" t="s">
        <v>1545</v>
      </c>
      <c r="C199" t="str">
        <f>"42.61"</f>
        <v>42.61</v>
      </c>
      <c r="D199" t="s">
        <v>1646</v>
      </c>
    </row>
    <row r="200" spans="1:4" x14ac:dyDescent="0.55000000000000004">
      <c r="A200" t="s">
        <v>1544</v>
      </c>
      <c r="B200" t="s">
        <v>1545</v>
      </c>
      <c r="C200" t="str">
        <f>"42.62"</f>
        <v>42.62</v>
      </c>
      <c r="D200" t="s">
        <v>1647</v>
      </c>
    </row>
    <row r="201" spans="1:4" x14ac:dyDescent="0.55000000000000004">
      <c r="A201" t="s">
        <v>1544</v>
      </c>
      <c r="B201" t="s">
        <v>1545</v>
      </c>
      <c r="C201" t="str">
        <f>"42.63"</f>
        <v>42.63</v>
      </c>
      <c r="D201" t="s">
        <v>1648</v>
      </c>
    </row>
    <row r="202" spans="1:4" x14ac:dyDescent="0.55000000000000004">
      <c r="A202" t="s">
        <v>1544</v>
      </c>
      <c r="B202" t="s">
        <v>1545</v>
      </c>
      <c r="C202" t="str">
        <f>"42.64"</f>
        <v>42.64</v>
      </c>
      <c r="D202" t="s">
        <v>1649</v>
      </c>
    </row>
    <row r="203" spans="1:4" x14ac:dyDescent="0.55000000000000004">
      <c r="A203" t="s">
        <v>1544</v>
      </c>
      <c r="B203" t="s">
        <v>1545</v>
      </c>
      <c r="C203" t="str">
        <f>"42.65"</f>
        <v>42.65</v>
      </c>
      <c r="D203" t="s">
        <v>1650</v>
      </c>
    </row>
    <row r="204" spans="1:4" x14ac:dyDescent="0.55000000000000004">
      <c r="A204" t="s">
        <v>1544</v>
      </c>
      <c r="B204" t="s">
        <v>1545</v>
      </c>
      <c r="C204" t="str">
        <f>"42.66"</f>
        <v>42.66</v>
      </c>
      <c r="D204" t="s">
        <v>1651</v>
      </c>
    </row>
    <row r="205" spans="1:4" x14ac:dyDescent="0.55000000000000004">
      <c r="A205" t="s">
        <v>1544</v>
      </c>
      <c r="B205" t="s">
        <v>1545</v>
      </c>
      <c r="C205" t="str">
        <f>"42.68"</f>
        <v>42.68</v>
      </c>
      <c r="D205" t="s">
        <v>1652</v>
      </c>
    </row>
    <row r="206" spans="1:4" x14ac:dyDescent="0.55000000000000004">
      <c r="A206" t="s">
        <v>1544</v>
      </c>
      <c r="B206" t="s">
        <v>1545</v>
      </c>
      <c r="C206" t="str">
        <f>"42.69"</f>
        <v>42.69</v>
      </c>
      <c r="D206" t="s">
        <v>1653</v>
      </c>
    </row>
    <row r="207" spans="1:4" x14ac:dyDescent="0.55000000000000004">
      <c r="A207" t="s">
        <v>1544</v>
      </c>
      <c r="B207" t="s">
        <v>1545</v>
      </c>
      <c r="C207" t="str">
        <f>"42.82"</f>
        <v>42.82</v>
      </c>
      <c r="D207" t="s">
        <v>1654</v>
      </c>
    </row>
    <row r="208" spans="1:4" x14ac:dyDescent="0.55000000000000004">
      <c r="A208" t="s">
        <v>1544</v>
      </c>
      <c r="B208" t="s">
        <v>1545</v>
      </c>
      <c r="C208" t="str">
        <f>"42.83"</f>
        <v>42.83</v>
      </c>
      <c r="D208" t="s">
        <v>1655</v>
      </c>
    </row>
    <row r="209" spans="1:4" x14ac:dyDescent="0.55000000000000004">
      <c r="A209" t="s">
        <v>1544</v>
      </c>
      <c r="B209" t="s">
        <v>1545</v>
      </c>
      <c r="C209" t="str">
        <f>"42.84"</f>
        <v>42.84</v>
      </c>
      <c r="D209" t="s">
        <v>1656</v>
      </c>
    </row>
    <row r="210" spans="1:4" x14ac:dyDescent="0.55000000000000004">
      <c r="A210" t="s">
        <v>1544</v>
      </c>
      <c r="B210" t="s">
        <v>1545</v>
      </c>
      <c r="C210" t="str">
        <f>"42.86"</f>
        <v>42.86</v>
      </c>
      <c r="D210" t="s">
        <v>1657</v>
      </c>
    </row>
    <row r="211" spans="1:4" x14ac:dyDescent="0.55000000000000004">
      <c r="A211" t="s">
        <v>1544</v>
      </c>
      <c r="B211" t="s">
        <v>1545</v>
      </c>
      <c r="C211" t="str">
        <f>"42.87"</f>
        <v>42.87</v>
      </c>
      <c r="D211" t="s">
        <v>1658</v>
      </c>
    </row>
    <row r="212" spans="1:4" x14ac:dyDescent="0.55000000000000004">
      <c r="A212" t="s">
        <v>1544</v>
      </c>
      <c r="B212" t="s">
        <v>1545</v>
      </c>
      <c r="C212" t="str">
        <f>"42.89"</f>
        <v>42.89</v>
      </c>
      <c r="D212" t="s">
        <v>1659</v>
      </c>
    </row>
    <row r="213" spans="1:4" x14ac:dyDescent="0.55000000000000004">
      <c r="A213" t="s">
        <v>1544</v>
      </c>
      <c r="B213" t="s">
        <v>1545</v>
      </c>
      <c r="C213" t="str">
        <f>"53.81"</f>
        <v>53.81</v>
      </c>
      <c r="D213" t="s">
        <v>1660</v>
      </c>
    </row>
    <row r="214" spans="1:4" x14ac:dyDescent="0.55000000000000004">
      <c r="A214" t="s">
        <v>1544</v>
      </c>
      <c r="B214" t="s">
        <v>1545</v>
      </c>
      <c r="C214" t="str">
        <f>"77.21"</f>
        <v>77.21</v>
      </c>
      <c r="D214" t="s">
        <v>1661</v>
      </c>
    </row>
    <row r="215" spans="1:4" x14ac:dyDescent="0.55000000000000004">
      <c r="A215" t="s">
        <v>1544</v>
      </c>
      <c r="B215" t="s">
        <v>1545</v>
      </c>
      <c r="C215" t="str">
        <f>"77.31"</f>
        <v>77.31</v>
      </c>
      <c r="D215" t="s">
        <v>1662</v>
      </c>
    </row>
    <row r="216" spans="1:4" x14ac:dyDescent="0.55000000000000004">
      <c r="A216" t="s">
        <v>1544</v>
      </c>
      <c r="B216" t="s">
        <v>1545</v>
      </c>
      <c r="C216" t="str">
        <f>"77.71"</f>
        <v>77.71</v>
      </c>
      <c r="D216" t="s">
        <v>1663</v>
      </c>
    </row>
    <row r="217" spans="1:4" x14ac:dyDescent="0.55000000000000004">
      <c r="A217" t="s">
        <v>1544</v>
      </c>
      <c r="B217" t="s">
        <v>1545</v>
      </c>
      <c r="C217" t="str">
        <f>"77.81"</f>
        <v>77.81</v>
      </c>
      <c r="D217" t="s">
        <v>1664</v>
      </c>
    </row>
    <row r="218" spans="1:4" x14ac:dyDescent="0.55000000000000004">
      <c r="A218" t="s">
        <v>1544</v>
      </c>
      <c r="B218" t="s">
        <v>1545</v>
      </c>
      <c r="C218" t="str">
        <f>"77.91"</f>
        <v>77.91</v>
      </c>
      <c r="D218" t="s">
        <v>1665</v>
      </c>
    </row>
    <row r="219" spans="1:4" x14ac:dyDescent="0.55000000000000004">
      <c r="A219" t="s">
        <v>1544</v>
      </c>
      <c r="B219" t="s">
        <v>1545</v>
      </c>
      <c r="C219" t="str">
        <f>"78.01"</f>
        <v>78.01</v>
      </c>
      <c r="D219" t="s">
        <v>1666</v>
      </c>
    </row>
    <row r="220" spans="1:4" x14ac:dyDescent="0.55000000000000004">
      <c r="A220" t="s">
        <v>1544</v>
      </c>
      <c r="B220" t="s">
        <v>1545</v>
      </c>
      <c r="C220" t="str">
        <f>"78.11"</f>
        <v>78.11</v>
      </c>
      <c r="D220" t="s">
        <v>1667</v>
      </c>
    </row>
    <row r="221" spans="1:4" x14ac:dyDescent="0.55000000000000004">
      <c r="A221" t="s">
        <v>1544</v>
      </c>
      <c r="B221" t="s">
        <v>1545</v>
      </c>
      <c r="C221" t="str">
        <f>"78.41"</f>
        <v>78.41</v>
      </c>
      <c r="D221" t="s">
        <v>1668</v>
      </c>
    </row>
    <row r="222" spans="1:4" x14ac:dyDescent="0.55000000000000004">
      <c r="A222" t="s">
        <v>1544</v>
      </c>
      <c r="B222" t="s">
        <v>1545</v>
      </c>
      <c r="C222" t="str">
        <f>"78.51"</f>
        <v>78.51</v>
      </c>
      <c r="D222" t="s">
        <v>1669</v>
      </c>
    </row>
    <row r="223" spans="1:4" x14ac:dyDescent="0.55000000000000004">
      <c r="A223" t="s">
        <v>1544</v>
      </c>
      <c r="B223" t="s">
        <v>1545</v>
      </c>
      <c r="C223" t="str">
        <f>"78.61"</f>
        <v>78.61</v>
      </c>
      <c r="D223" t="s">
        <v>1670</v>
      </c>
    </row>
    <row r="224" spans="1:4" x14ac:dyDescent="0.55000000000000004">
      <c r="A224" t="s">
        <v>1544</v>
      </c>
      <c r="B224" t="s">
        <v>1545</v>
      </c>
      <c r="C224" t="str">
        <f>"78.91"</f>
        <v>78.91</v>
      </c>
      <c r="D224" t="s">
        <v>1671</v>
      </c>
    </row>
    <row r="225" spans="1:4" x14ac:dyDescent="0.55000000000000004">
      <c r="A225" t="s">
        <v>1672</v>
      </c>
      <c r="B225" t="s">
        <v>1673</v>
      </c>
      <c r="C225" t="str">
        <f>"07.00"</f>
        <v>07.00</v>
      </c>
      <c r="D225" t="s">
        <v>1674</v>
      </c>
    </row>
    <row r="226" spans="1:4" x14ac:dyDescent="0.55000000000000004">
      <c r="A226" t="s">
        <v>1672</v>
      </c>
      <c r="B226" t="s">
        <v>1673</v>
      </c>
      <c r="C226" t="str">
        <f>"07.01"</f>
        <v>07.01</v>
      </c>
      <c r="D226" t="s">
        <v>1675</v>
      </c>
    </row>
    <row r="227" spans="1:4" x14ac:dyDescent="0.55000000000000004">
      <c r="A227" t="s">
        <v>1672</v>
      </c>
      <c r="B227" t="s">
        <v>1673</v>
      </c>
      <c r="C227" t="str">
        <f>"07.02"</f>
        <v>07.02</v>
      </c>
      <c r="D227" t="s">
        <v>1676</v>
      </c>
    </row>
    <row r="228" spans="1:4" x14ac:dyDescent="0.55000000000000004">
      <c r="A228" t="s">
        <v>1672</v>
      </c>
      <c r="B228" t="s">
        <v>1673</v>
      </c>
      <c r="C228" t="str">
        <f>"07.21"</f>
        <v>07.21</v>
      </c>
      <c r="D228" t="s">
        <v>1677</v>
      </c>
    </row>
    <row r="229" spans="1:4" x14ac:dyDescent="0.55000000000000004">
      <c r="A229" t="s">
        <v>1672</v>
      </c>
      <c r="B229" t="s">
        <v>1673</v>
      </c>
      <c r="C229" t="str">
        <f>"07.22"</f>
        <v>07.22</v>
      </c>
      <c r="D229" t="s">
        <v>1678</v>
      </c>
    </row>
    <row r="230" spans="1:4" x14ac:dyDescent="0.55000000000000004">
      <c r="A230" t="s">
        <v>1672</v>
      </c>
      <c r="B230" t="s">
        <v>1673</v>
      </c>
      <c r="C230" t="str">
        <f>"07.29"</f>
        <v>07.29</v>
      </c>
      <c r="D230" t="s">
        <v>1679</v>
      </c>
    </row>
    <row r="231" spans="1:4" x14ac:dyDescent="0.55000000000000004">
      <c r="A231" t="s">
        <v>1672</v>
      </c>
      <c r="B231" t="s">
        <v>1673</v>
      </c>
      <c r="C231" t="str">
        <f>"07.3"</f>
        <v>07.3</v>
      </c>
      <c r="D231" t="s">
        <v>1680</v>
      </c>
    </row>
    <row r="232" spans="1:4" x14ac:dyDescent="0.55000000000000004">
      <c r="A232" t="s">
        <v>1672</v>
      </c>
      <c r="B232" t="s">
        <v>1673</v>
      </c>
      <c r="C232" t="str">
        <f>"07.41"</f>
        <v>07.41</v>
      </c>
      <c r="D232" t="s">
        <v>1681</v>
      </c>
    </row>
    <row r="233" spans="1:4" x14ac:dyDescent="0.55000000000000004">
      <c r="A233" t="s">
        <v>1672</v>
      </c>
      <c r="B233" t="s">
        <v>1673</v>
      </c>
      <c r="C233" t="str">
        <f>"07.43"</f>
        <v>07.43</v>
      </c>
      <c r="D233" t="s">
        <v>1682</v>
      </c>
    </row>
    <row r="234" spans="1:4" x14ac:dyDescent="0.55000000000000004">
      <c r="A234" t="s">
        <v>1672</v>
      </c>
      <c r="B234" t="s">
        <v>1673</v>
      </c>
      <c r="C234" t="str">
        <f>"07.44"</f>
        <v>07.44</v>
      </c>
      <c r="D234" t="s">
        <v>1683</v>
      </c>
    </row>
    <row r="235" spans="1:4" x14ac:dyDescent="0.55000000000000004">
      <c r="A235" t="s">
        <v>1672</v>
      </c>
      <c r="B235" t="s">
        <v>1673</v>
      </c>
      <c r="C235" t="str">
        <f>"07.45"</f>
        <v>07.45</v>
      </c>
      <c r="D235" t="s">
        <v>1684</v>
      </c>
    </row>
    <row r="236" spans="1:4" x14ac:dyDescent="0.55000000000000004">
      <c r="A236" t="s">
        <v>1672</v>
      </c>
      <c r="B236" t="s">
        <v>1673</v>
      </c>
      <c r="C236" t="str">
        <f>"07.49"</f>
        <v>07.49</v>
      </c>
      <c r="D236" t="s">
        <v>1685</v>
      </c>
    </row>
    <row r="237" spans="1:4" x14ac:dyDescent="0.55000000000000004">
      <c r="A237" t="s">
        <v>1672</v>
      </c>
      <c r="B237" t="s">
        <v>1673</v>
      </c>
      <c r="C237" t="str">
        <f>"17.31"</f>
        <v>17.31</v>
      </c>
      <c r="D237" t="s">
        <v>1686</v>
      </c>
    </row>
    <row r="238" spans="1:4" x14ac:dyDescent="0.55000000000000004">
      <c r="A238" t="s">
        <v>1672</v>
      </c>
      <c r="B238" t="s">
        <v>1673</v>
      </c>
      <c r="C238" t="str">
        <f>"17.32"</f>
        <v>17.32</v>
      </c>
      <c r="D238" t="s">
        <v>1687</v>
      </c>
    </row>
    <row r="239" spans="1:4" x14ac:dyDescent="0.55000000000000004">
      <c r="A239" t="s">
        <v>1672</v>
      </c>
      <c r="B239" t="s">
        <v>1673</v>
      </c>
      <c r="C239" t="str">
        <f>"17.33"</f>
        <v>17.33</v>
      </c>
      <c r="D239" t="s">
        <v>1688</v>
      </c>
    </row>
    <row r="240" spans="1:4" x14ac:dyDescent="0.55000000000000004">
      <c r="A240" t="s">
        <v>1672</v>
      </c>
      <c r="B240" t="s">
        <v>1673</v>
      </c>
      <c r="C240" t="str">
        <f>"17.34"</f>
        <v>17.34</v>
      </c>
      <c r="D240" t="s">
        <v>1689</v>
      </c>
    </row>
    <row r="241" spans="1:4" x14ac:dyDescent="0.55000000000000004">
      <c r="A241" t="s">
        <v>1672</v>
      </c>
      <c r="B241" t="s">
        <v>1673</v>
      </c>
      <c r="C241" t="str">
        <f>"17.35"</f>
        <v>17.35</v>
      </c>
      <c r="D241" t="s">
        <v>1690</v>
      </c>
    </row>
    <row r="242" spans="1:4" x14ac:dyDescent="0.55000000000000004">
      <c r="A242" t="s">
        <v>1672</v>
      </c>
      <c r="B242" t="s">
        <v>1673</v>
      </c>
      <c r="C242" t="str">
        <f>"17.36"</f>
        <v>17.36</v>
      </c>
      <c r="D242" t="s">
        <v>1691</v>
      </c>
    </row>
    <row r="243" spans="1:4" x14ac:dyDescent="0.55000000000000004">
      <c r="A243" t="s">
        <v>1672</v>
      </c>
      <c r="B243" t="s">
        <v>1673</v>
      </c>
      <c r="C243" t="str">
        <f>"17.39"</f>
        <v>17.39</v>
      </c>
      <c r="D243" t="s">
        <v>1692</v>
      </c>
    </row>
    <row r="244" spans="1:4" x14ac:dyDescent="0.55000000000000004">
      <c r="A244" t="s">
        <v>1672</v>
      </c>
      <c r="B244" t="s">
        <v>1673</v>
      </c>
      <c r="C244" t="str">
        <f>"17.63"</f>
        <v>17.63</v>
      </c>
      <c r="D244" t="s">
        <v>1693</v>
      </c>
    </row>
    <row r="245" spans="1:4" x14ac:dyDescent="0.55000000000000004">
      <c r="A245" t="s">
        <v>1672</v>
      </c>
      <c r="B245" t="s">
        <v>1673</v>
      </c>
      <c r="C245" t="str">
        <f>"38.34"</f>
        <v>38.34</v>
      </c>
      <c r="D245" t="s">
        <v>1694</v>
      </c>
    </row>
    <row r="246" spans="1:4" x14ac:dyDescent="0.55000000000000004">
      <c r="A246" t="s">
        <v>1672</v>
      </c>
      <c r="B246" t="s">
        <v>1673</v>
      </c>
      <c r="C246" t="str">
        <f>"38.36"</f>
        <v>38.36</v>
      </c>
      <c r="D246" t="s">
        <v>1695</v>
      </c>
    </row>
    <row r="247" spans="1:4" x14ac:dyDescent="0.55000000000000004">
      <c r="A247" t="s">
        <v>1672</v>
      </c>
      <c r="B247" t="s">
        <v>1673</v>
      </c>
      <c r="C247" t="str">
        <f>"38.37"</f>
        <v>38.37</v>
      </c>
      <c r="D247" t="s">
        <v>1696</v>
      </c>
    </row>
    <row r="248" spans="1:4" x14ac:dyDescent="0.55000000000000004">
      <c r="A248" t="s">
        <v>1672</v>
      </c>
      <c r="B248" t="s">
        <v>1673</v>
      </c>
      <c r="C248" t="str">
        <f>"38.44"</f>
        <v>38.44</v>
      </c>
      <c r="D248" t="s">
        <v>1697</v>
      </c>
    </row>
    <row r="249" spans="1:4" x14ac:dyDescent="0.55000000000000004">
      <c r="A249" t="s">
        <v>1672</v>
      </c>
      <c r="B249" t="s">
        <v>1673</v>
      </c>
      <c r="C249" t="str">
        <f>"38.46"</f>
        <v>38.46</v>
      </c>
      <c r="D249" t="s">
        <v>1698</v>
      </c>
    </row>
    <row r="250" spans="1:4" x14ac:dyDescent="0.55000000000000004">
      <c r="A250" t="s">
        <v>1672</v>
      </c>
      <c r="B250" t="s">
        <v>1673</v>
      </c>
      <c r="C250" t="str">
        <f>"38.47"</f>
        <v>38.47</v>
      </c>
      <c r="D250" t="s">
        <v>1699</v>
      </c>
    </row>
    <row r="251" spans="1:4" x14ac:dyDescent="0.55000000000000004">
      <c r="A251" t="s">
        <v>1672</v>
      </c>
      <c r="B251" t="s">
        <v>1673</v>
      </c>
      <c r="C251" t="str">
        <f>"38.64"</f>
        <v>38.64</v>
      </c>
      <c r="D251" t="s">
        <v>1700</v>
      </c>
    </row>
    <row r="252" spans="1:4" x14ac:dyDescent="0.55000000000000004">
      <c r="A252" t="s">
        <v>1672</v>
      </c>
      <c r="B252" t="s">
        <v>1673</v>
      </c>
      <c r="C252" t="str">
        <f>"38.66"</f>
        <v>38.66</v>
      </c>
      <c r="D252" t="s">
        <v>1701</v>
      </c>
    </row>
    <row r="253" spans="1:4" x14ac:dyDescent="0.55000000000000004">
      <c r="A253" t="s">
        <v>1672</v>
      </c>
      <c r="B253" t="s">
        <v>1673</v>
      </c>
      <c r="C253" t="str">
        <f>"38.67"</f>
        <v>38.67</v>
      </c>
      <c r="D253" t="s">
        <v>1702</v>
      </c>
    </row>
    <row r="254" spans="1:4" x14ac:dyDescent="0.55000000000000004">
      <c r="A254" t="s">
        <v>1672</v>
      </c>
      <c r="B254" t="s">
        <v>1673</v>
      </c>
      <c r="C254" t="str">
        <f>"38.84"</f>
        <v>38.84</v>
      </c>
      <c r="D254" t="s">
        <v>1703</v>
      </c>
    </row>
    <row r="255" spans="1:4" x14ac:dyDescent="0.55000000000000004">
      <c r="A255" t="s">
        <v>1672</v>
      </c>
      <c r="B255" t="s">
        <v>1673</v>
      </c>
      <c r="C255" t="str">
        <f>"38.86"</f>
        <v>38.86</v>
      </c>
      <c r="D255" t="s">
        <v>1704</v>
      </c>
    </row>
    <row r="256" spans="1:4" x14ac:dyDescent="0.55000000000000004">
      <c r="A256" t="s">
        <v>1672</v>
      </c>
      <c r="B256" t="s">
        <v>1673</v>
      </c>
      <c r="C256" t="str">
        <f>"38.87"</f>
        <v>38.87</v>
      </c>
      <c r="D256" t="s">
        <v>1705</v>
      </c>
    </row>
    <row r="257" spans="1:4" x14ac:dyDescent="0.55000000000000004">
      <c r="A257" t="s">
        <v>1672</v>
      </c>
      <c r="B257" t="s">
        <v>1673</v>
      </c>
      <c r="C257" t="str">
        <f>"39.24"</f>
        <v>39.24</v>
      </c>
      <c r="D257" t="s">
        <v>1706</v>
      </c>
    </row>
    <row r="258" spans="1:4" x14ac:dyDescent="0.55000000000000004">
      <c r="A258" t="s">
        <v>1672</v>
      </c>
      <c r="B258" t="s">
        <v>1673</v>
      </c>
      <c r="C258" t="str">
        <f>"39.25"</f>
        <v>39.25</v>
      </c>
      <c r="D258" t="s">
        <v>1707</v>
      </c>
    </row>
    <row r="259" spans="1:4" x14ac:dyDescent="0.55000000000000004">
      <c r="A259" t="s">
        <v>1672</v>
      </c>
      <c r="B259" t="s">
        <v>1673</v>
      </c>
      <c r="C259" t="str">
        <f>"39.26"</f>
        <v>39.26</v>
      </c>
      <c r="D259" t="s">
        <v>1708</v>
      </c>
    </row>
    <row r="260" spans="1:4" x14ac:dyDescent="0.55000000000000004">
      <c r="A260" t="s">
        <v>1672</v>
      </c>
      <c r="B260" t="s">
        <v>1673</v>
      </c>
      <c r="C260" t="str">
        <f>"39.71"</f>
        <v>39.71</v>
      </c>
      <c r="D260" t="s">
        <v>1709</v>
      </c>
    </row>
    <row r="261" spans="1:4" x14ac:dyDescent="0.55000000000000004">
      <c r="A261" t="s">
        <v>1672</v>
      </c>
      <c r="B261" t="s">
        <v>1673</v>
      </c>
      <c r="C261" t="str">
        <f>"39.710"</f>
        <v>39.710</v>
      </c>
      <c r="D261" t="s">
        <v>1710</v>
      </c>
    </row>
    <row r="262" spans="1:4" x14ac:dyDescent="0.55000000000000004">
      <c r="A262" t="s">
        <v>1672</v>
      </c>
      <c r="B262" t="s">
        <v>1673</v>
      </c>
      <c r="C262" t="str">
        <f>"39.711"</f>
        <v>39.711</v>
      </c>
      <c r="D262" t="s">
        <v>1711</v>
      </c>
    </row>
    <row r="263" spans="1:4" x14ac:dyDescent="0.55000000000000004">
      <c r="A263" t="s">
        <v>1672</v>
      </c>
      <c r="B263" t="s">
        <v>1673</v>
      </c>
      <c r="C263" t="str">
        <f>"39.712"</f>
        <v>39.712</v>
      </c>
      <c r="D263" t="s">
        <v>1712</v>
      </c>
    </row>
    <row r="264" spans="1:4" x14ac:dyDescent="0.55000000000000004">
      <c r="A264" t="s">
        <v>1672</v>
      </c>
      <c r="B264" t="s">
        <v>1673</v>
      </c>
      <c r="C264" t="str">
        <f>"39.713"</f>
        <v>39.713</v>
      </c>
      <c r="D264" t="s">
        <v>1713</v>
      </c>
    </row>
    <row r="265" spans="1:4" x14ac:dyDescent="0.55000000000000004">
      <c r="A265" t="s">
        <v>1672</v>
      </c>
      <c r="B265" t="s">
        <v>1673</v>
      </c>
      <c r="C265" t="str">
        <f>"39.714"</f>
        <v>39.714</v>
      </c>
      <c r="D265" t="s">
        <v>1714</v>
      </c>
    </row>
    <row r="266" spans="1:4" x14ac:dyDescent="0.55000000000000004">
      <c r="A266" t="s">
        <v>1672</v>
      </c>
      <c r="B266" t="s">
        <v>1673</v>
      </c>
      <c r="C266" t="str">
        <f>"39.715"</f>
        <v>39.715</v>
      </c>
      <c r="D266" t="s">
        <v>1715</v>
      </c>
    </row>
    <row r="267" spans="1:4" x14ac:dyDescent="0.55000000000000004">
      <c r="A267" t="s">
        <v>1672</v>
      </c>
      <c r="B267" t="s">
        <v>1673</v>
      </c>
      <c r="C267" t="str">
        <f>"39.716"</f>
        <v>39.716</v>
      </c>
      <c r="D267" t="s">
        <v>1716</v>
      </c>
    </row>
    <row r="268" spans="1:4" x14ac:dyDescent="0.55000000000000004">
      <c r="A268" t="s">
        <v>1672</v>
      </c>
      <c r="B268" t="s">
        <v>1673</v>
      </c>
      <c r="C268" t="str">
        <f>"39.717"</f>
        <v>39.717</v>
      </c>
      <c r="D268" t="s">
        <v>1717</v>
      </c>
    </row>
    <row r="269" spans="1:4" x14ac:dyDescent="0.55000000000000004">
      <c r="A269" t="s">
        <v>1672</v>
      </c>
      <c r="B269" t="s">
        <v>1673</v>
      </c>
      <c r="C269" t="str">
        <f>"39.718"</f>
        <v>39.718</v>
      </c>
      <c r="D269" t="s">
        <v>1718</v>
      </c>
    </row>
    <row r="270" spans="1:4" x14ac:dyDescent="0.55000000000000004">
      <c r="A270" t="s">
        <v>1672</v>
      </c>
      <c r="B270" t="s">
        <v>1673</v>
      </c>
      <c r="C270" t="str">
        <f>"39.73"</f>
        <v>39.73</v>
      </c>
      <c r="D270" t="s">
        <v>1719</v>
      </c>
    </row>
    <row r="271" spans="1:4" x14ac:dyDescent="0.55000000000000004">
      <c r="A271" t="s">
        <v>1672</v>
      </c>
      <c r="B271" t="s">
        <v>1673</v>
      </c>
      <c r="C271" t="str">
        <f>"39.730"</f>
        <v>39.730</v>
      </c>
      <c r="D271" t="s">
        <v>1720</v>
      </c>
    </row>
    <row r="272" spans="1:4" x14ac:dyDescent="0.55000000000000004">
      <c r="A272" t="s">
        <v>1672</v>
      </c>
      <c r="B272" t="s">
        <v>1673</v>
      </c>
      <c r="C272" t="str">
        <f>"39.731"</f>
        <v>39.731</v>
      </c>
      <c r="D272" t="s">
        <v>1721</v>
      </c>
    </row>
    <row r="273" spans="1:4" x14ac:dyDescent="0.55000000000000004">
      <c r="A273" t="s">
        <v>1672</v>
      </c>
      <c r="B273" t="s">
        <v>1673</v>
      </c>
      <c r="C273" t="str">
        <f>"39.732"</f>
        <v>39.732</v>
      </c>
      <c r="D273" t="s">
        <v>1722</v>
      </c>
    </row>
    <row r="274" spans="1:4" x14ac:dyDescent="0.55000000000000004">
      <c r="A274" t="s">
        <v>1672</v>
      </c>
      <c r="B274" t="s">
        <v>1673</v>
      </c>
      <c r="C274" t="str">
        <f>"39.733"</f>
        <v>39.733</v>
      </c>
      <c r="D274" t="s">
        <v>1723</v>
      </c>
    </row>
    <row r="275" spans="1:4" x14ac:dyDescent="0.55000000000000004">
      <c r="A275" t="s">
        <v>1672</v>
      </c>
      <c r="B275" t="s">
        <v>1673</v>
      </c>
      <c r="C275" t="str">
        <f>"39.734"</f>
        <v>39.734</v>
      </c>
      <c r="D275" t="s">
        <v>1724</v>
      </c>
    </row>
    <row r="276" spans="1:4" x14ac:dyDescent="0.55000000000000004">
      <c r="A276" t="s">
        <v>1672</v>
      </c>
      <c r="B276" t="s">
        <v>1673</v>
      </c>
      <c r="C276" t="str">
        <f>"39.735"</f>
        <v>39.735</v>
      </c>
      <c r="D276" t="s">
        <v>1725</v>
      </c>
    </row>
    <row r="277" spans="1:4" x14ac:dyDescent="0.55000000000000004">
      <c r="A277" t="s">
        <v>1672</v>
      </c>
      <c r="B277" t="s">
        <v>1673</v>
      </c>
      <c r="C277" t="str">
        <f>"39.736"</f>
        <v>39.736</v>
      </c>
      <c r="D277" t="s">
        <v>1726</v>
      </c>
    </row>
    <row r="278" spans="1:4" x14ac:dyDescent="0.55000000000000004">
      <c r="A278" t="s">
        <v>1672</v>
      </c>
      <c r="B278" t="s">
        <v>1673</v>
      </c>
      <c r="C278" t="str">
        <f>"39.737"</f>
        <v>39.737</v>
      </c>
      <c r="D278" t="s">
        <v>1727</v>
      </c>
    </row>
    <row r="279" spans="1:4" x14ac:dyDescent="0.55000000000000004">
      <c r="A279" t="s">
        <v>1672</v>
      </c>
      <c r="B279" t="s">
        <v>1673</v>
      </c>
      <c r="C279" t="str">
        <f>"39.738"</f>
        <v>39.738</v>
      </c>
      <c r="D279" t="s">
        <v>1728</v>
      </c>
    </row>
    <row r="280" spans="1:4" x14ac:dyDescent="0.55000000000000004">
      <c r="A280" t="s">
        <v>1672</v>
      </c>
      <c r="B280" t="s">
        <v>1673</v>
      </c>
      <c r="C280" t="str">
        <f>"41.43"</f>
        <v>41.43</v>
      </c>
      <c r="D280" t="s">
        <v>1729</v>
      </c>
    </row>
    <row r="281" spans="1:4" x14ac:dyDescent="0.55000000000000004">
      <c r="A281" t="s">
        <v>1672</v>
      </c>
      <c r="B281" t="s">
        <v>1673</v>
      </c>
      <c r="C281" t="str">
        <f>"41.5"</f>
        <v>41.5</v>
      </c>
      <c r="D281" t="s">
        <v>1730</v>
      </c>
    </row>
    <row r="282" spans="1:4" x14ac:dyDescent="0.55000000000000004">
      <c r="A282" t="s">
        <v>1672</v>
      </c>
      <c r="B282" t="s">
        <v>1673</v>
      </c>
      <c r="C282" t="str">
        <f>"41.94"</f>
        <v>41.94</v>
      </c>
      <c r="D282" t="s">
        <v>1731</v>
      </c>
    </row>
    <row r="283" spans="1:4" x14ac:dyDescent="0.55000000000000004">
      <c r="A283" t="s">
        <v>1672</v>
      </c>
      <c r="B283" t="s">
        <v>1673</v>
      </c>
      <c r="C283" t="str">
        <f>"41.95"</f>
        <v>41.95</v>
      </c>
      <c r="D283" t="s">
        <v>1732</v>
      </c>
    </row>
    <row r="284" spans="1:4" x14ac:dyDescent="0.55000000000000004">
      <c r="A284" t="s">
        <v>1672</v>
      </c>
      <c r="B284" t="s">
        <v>1673</v>
      </c>
      <c r="C284" t="str">
        <f>"43.0"</f>
        <v>43.0</v>
      </c>
      <c r="D284" t="s">
        <v>1733</v>
      </c>
    </row>
    <row r="285" spans="1:4" x14ac:dyDescent="0.55000000000000004">
      <c r="A285" t="s">
        <v>1672</v>
      </c>
      <c r="B285" t="s">
        <v>1673</v>
      </c>
      <c r="C285" t="str">
        <f>"43.19"</f>
        <v>43.19</v>
      </c>
      <c r="D285" t="s">
        <v>1734</v>
      </c>
    </row>
    <row r="286" spans="1:4" x14ac:dyDescent="0.55000000000000004">
      <c r="A286" t="s">
        <v>1672</v>
      </c>
      <c r="B286" t="s">
        <v>1673</v>
      </c>
      <c r="C286" t="str">
        <f>"43.5"</f>
        <v>43.5</v>
      </c>
      <c r="D286" t="s">
        <v>1735</v>
      </c>
    </row>
    <row r="287" spans="1:4" x14ac:dyDescent="0.55000000000000004">
      <c r="A287" t="s">
        <v>1672</v>
      </c>
      <c r="B287" t="s">
        <v>1673</v>
      </c>
      <c r="C287" t="str">
        <f>"43.6"</f>
        <v>43.6</v>
      </c>
      <c r="D287" t="s">
        <v>1736</v>
      </c>
    </row>
    <row r="288" spans="1:4" x14ac:dyDescent="0.55000000000000004">
      <c r="A288" t="s">
        <v>1672</v>
      </c>
      <c r="B288" t="s">
        <v>1673</v>
      </c>
      <c r="C288" t="str">
        <f>"43.7"</f>
        <v>43.7</v>
      </c>
      <c r="D288" t="s">
        <v>1737</v>
      </c>
    </row>
    <row r="289" spans="1:4" x14ac:dyDescent="0.55000000000000004">
      <c r="A289" t="s">
        <v>1672</v>
      </c>
      <c r="B289" t="s">
        <v>1673</v>
      </c>
      <c r="C289" t="str">
        <f>"43.81"</f>
        <v>43.81</v>
      </c>
      <c r="D289" t="s">
        <v>1738</v>
      </c>
    </row>
    <row r="290" spans="1:4" x14ac:dyDescent="0.55000000000000004">
      <c r="A290" t="s">
        <v>1672</v>
      </c>
      <c r="B290" t="s">
        <v>1673</v>
      </c>
      <c r="C290" t="str">
        <f>"43.89"</f>
        <v>43.89</v>
      </c>
      <c r="D290" t="s">
        <v>1739</v>
      </c>
    </row>
    <row r="291" spans="1:4" x14ac:dyDescent="0.55000000000000004">
      <c r="A291" t="s">
        <v>1672</v>
      </c>
      <c r="B291" t="s">
        <v>1673</v>
      </c>
      <c r="C291" t="str">
        <f>"43.91"</f>
        <v>43.91</v>
      </c>
      <c r="D291" t="s">
        <v>1740</v>
      </c>
    </row>
    <row r="292" spans="1:4" x14ac:dyDescent="0.55000000000000004">
      <c r="A292" t="s">
        <v>1672</v>
      </c>
      <c r="B292" t="s">
        <v>1673</v>
      </c>
      <c r="C292" t="str">
        <f>"43.99"</f>
        <v>43.99</v>
      </c>
      <c r="D292" t="s">
        <v>1741</v>
      </c>
    </row>
    <row r="293" spans="1:4" x14ac:dyDescent="0.55000000000000004">
      <c r="A293" t="s">
        <v>1672</v>
      </c>
      <c r="B293" t="s">
        <v>1673</v>
      </c>
      <c r="C293" t="str">
        <f>"44.00"</f>
        <v>44.00</v>
      </c>
      <c r="D293" t="s">
        <v>1742</v>
      </c>
    </row>
    <row r="294" spans="1:4" x14ac:dyDescent="0.55000000000000004">
      <c r="A294" t="s">
        <v>1672</v>
      </c>
      <c r="B294" t="s">
        <v>1673</v>
      </c>
      <c r="C294" t="str">
        <f>"44.01"</f>
        <v>44.01</v>
      </c>
      <c r="D294" t="s">
        <v>1743</v>
      </c>
    </row>
    <row r="295" spans="1:4" x14ac:dyDescent="0.55000000000000004">
      <c r="A295" t="s">
        <v>1672</v>
      </c>
      <c r="B295" t="s">
        <v>1673</v>
      </c>
      <c r="C295" t="str">
        <f>"44.02"</f>
        <v>44.02</v>
      </c>
      <c r="D295" t="s">
        <v>1744</v>
      </c>
    </row>
    <row r="296" spans="1:4" x14ac:dyDescent="0.55000000000000004">
      <c r="A296" t="s">
        <v>1672</v>
      </c>
      <c r="B296" t="s">
        <v>1673</v>
      </c>
      <c r="C296" t="str">
        <f>"44.03"</f>
        <v>44.03</v>
      </c>
      <c r="D296" t="s">
        <v>1745</v>
      </c>
    </row>
    <row r="297" spans="1:4" x14ac:dyDescent="0.55000000000000004">
      <c r="A297" t="s">
        <v>1672</v>
      </c>
      <c r="B297" t="s">
        <v>1673</v>
      </c>
      <c r="C297" t="str">
        <f>"44.11"</f>
        <v>44.11</v>
      </c>
      <c r="D297" t="s">
        <v>1746</v>
      </c>
    </row>
    <row r="298" spans="1:4" x14ac:dyDescent="0.55000000000000004">
      <c r="A298" t="s">
        <v>1672</v>
      </c>
      <c r="B298" t="s">
        <v>1673</v>
      </c>
      <c r="C298" t="str">
        <f>"44.29"</f>
        <v>44.29</v>
      </c>
      <c r="D298" t="s">
        <v>1747</v>
      </c>
    </row>
    <row r="299" spans="1:4" x14ac:dyDescent="0.55000000000000004">
      <c r="A299" t="s">
        <v>1672</v>
      </c>
      <c r="B299" t="s">
        <v>1673</v>
      </c>
      <c r="C299" t="str">
        <f>"44.31"</f>
        <v>44.31</v>
      </c>
      <c r="D299" t="s">
        <v>1748</v>
      </c>
    </row>
    <row r="300" spans="1:4" x14ac:dyDescent="0.55000000000000004">
      <c r="A300" t="s">
        <v>1672</v>
      </c>
      <c r="B300" t="s">
        <v>1673</v>
      </c>
      <c r="C300" t="str">
        <f>"44.38"</f>
        <v>44.38</v>
      </c>
      <c r="D300" t="s">
        <v>1749</v>
      </c>
    </row>
    <row r="301" spans="1:4" x14ac:dyDescent="0.55000000000000004">
      <c r="A301" t="s">
        <v>1672</v>
      </c>
      <c r="B301" t="s">
        <v>1673</v>
      </c>
      <c r="C301" t="str">
        <f>"44.39"</f>
        <v>44.39</v>
      </c>
      <c r="D301" t="s">
        <v>1750</v>
      </c>
    </row>
    <row r="302" spans="1:4" x14ac:dyDescent="0.55000000000000004">
      <c r="A302" t="s">
        <v>1672</v>
      </c>
      <c r="B302" t="s">
        <v>1673</v>
      </c>
      <c r="C302" t="str">
        <f>"44.5"</f>
        <v>44.5</v>
      </c>
      <c r="D302" t="s">
        <v>1751</v>
      </c>
    </row>
    <row r="303" spans="1:4" x14ac:dyDescent="0.55000000000000004">
      <c r="A303" t="s">
        <v>1672</v>
      </c>
      <c r="B303" t="s">
        <v>1673</v>
      </c>
      <c r="C303" t="str">
        <f>"44.61"</f>
        <v>44.61</v>
      </c>
      <c r="D303" t="s">
        <v>1752</v>
      </c>
    </row>
    <row r="304" spans="1:4" x14ac:dyDescent="0.55000000000000004">
      <c r="A304" t="s">
        <v>1672</v>
      </c>
      <c r="B304" t="s">
        <v>1673</v>
      </c>
      <c r="C304" t="str">
        <f>"44.63"</f>
        <v>44.63</v>
      </c>
      <c r="D304" t="s">
        <v>1753</v>
      </c>
    </row>
    <row r="305" spans="1:4" x14ac:dyDescent="0.55000000000000004">
      <c r="A305" t="s">
        <v>1672</v>
      </c>
      <c r="B305" t="s">
        <v>1673</v>
      </c>
      <c r="C305" t="str">
        <f>"44.69"</f>
        <v>44.69</v>
      </c>
      <c r="D305" t="s">
        <v>1754</v>
      </c>
    </row>
    <row r="306" spans="1:4" x14ac:dyDescent="0.55000000000000004">
      <c r="A306" t="s">
        <v>1672</v>
      </c>
      <c r="B306" t="s">
        <v>1673</v>
      </c>
      <c r="C306" t="str">
        <f>"44.92"</f>
        <v>44.92</v>
      </c>
      <c r="D306" t="s">
        <v>1755</v>
      </c>
    </row>
    <row r="307" spans="1:4" x14ac:dyDescent="0.55000000000000004">
      <c r="A307" t="s">
        <v>1672</v>
      </c>
      <c r="B307" t="s">
        <v>1673</v>
      </c>
      <c r="C307" t="str">
        <f>"45.11"</f>
        <v>45.11</v>
      </c>
      <c r="D307" t="s">
        <v>1756</v>
      </c>
    </row>
    <row r="308" spans="1:4" x14ac:dyDescent="0.55000000000000004">
      <c r="A308" t="s">
        <v>1672</v>
      </c>
      <c r="B308" t="s">
        <v>1673</v>
      </c>
      <c r="C308" t="str">
        <f>"45.21"</f>
        <v>45.21</v>
      </c>
      <c r="D308" t="s">
        <v>1757</v>
      </c>
    </row>
    <row r="309" spans="1:4" x14ac:dyDescent="0.55000000000000004">
      <c r="A309" t="s">
        <v>1672</v>
      </c>
      <c r="B309" t="s">
        <v>1673</v>
      </c>
      <c r="C309" t="str">
        <f>"45.61"</f>
        <v>45.61</v>
      </c>
      <c r="D309" t="s">
        <v>1758</v>
      </c>
    </row>
    <row r="310" spans="1:4" x14ac:dyDescent="0.55000000000000004">
      <c r="A310" t="s">
        <v>1672</v>
      </c>
      <c r="B310" t="s">
        <v>1673</v>
      </c>
      <c r="C310" t="str">
        <f>"45.62"</f>
        <v>45.62</v>
      </c>
      <c r="D310" t="s">
        <v>1759</v>
      </c>
    </row>
    <row r="311" spans="1:4" x14ac:dyDescent="0.55000000000000004">
      <c r="A311" t="s">
        <v>1672</v>
      </c>
      <c r="B311" t="s">
        <v>1673</v>
      </c>
      <c r="C311" t="str">
        <f>"45.63"</f>
        <v>45.63</v>
      </c>
      <c r="D311" t="s">
        <v>1760</v>
      </c>
    </row>
    <row r="312" spans="1:4" x14ac:dyDescent="0.55000000000000004">
      <c r="A312" t="s">
        <v>1672</v>
      </c>
      <c r="B312" t="s">
        <v>1673</v>
      </c>
      <c r="C312" t="str">
        <f>"45.71"</f>
        <v>45.71</v>
      </c>
      <c r="D312" t="s">
        <v>1761</v>
      </c>
    </row>
    <row r="313" spans="1:4" x14ac:dyDescent="0.55000000000000004">
      <c r="A313" t="s">
        <v>1672</v>
      </c>
      <c r="B313" t="s">
        <v>1673</v>
      </c>
      <c r="C313" t="str">
        <f>"45.72"</f>
        <v>45.72</v>
      </c>
      <c r="D313" t="s">
        <v>1762</v>
      </c>
    </row>
    <row r="314" spans="1:4" x14ac:dyDescent="0.55000000000000004">
      <c r="A314" t="s">
        <v>1672</v>
      </c>
      <c r="B314" t="s">
        <v>1673</v>
      </c>
      <c r="C314" t="str">
        <f>"45.73"</f>
        <v>45.73</v>
      </c>
      <c r="D314" t="s">
        <v>1763</v>
      </c>
    </row>
    <row r="315" spans="1:4" x14ac:dyDescent="0.55000000000000004">
      <c r="A315" t="s">
        <v>1672</v>
      </c>
      <c r="B315" t="s">
        <v>1673</v>
      </c>
      <c r="C315" t="str">
        <f>"45.74"</f>
        <v>45.74</v>
      </c>
      <c r="D315" t="s">
        <v>1764</v>
      </c>
    </row>
    <row r="316" spans="1:4" x14ac:dyDescent="0.55000000000000004">
      <c r="A316" t="s">
        <v>1672</v>
      </c>
      <c r="B316" t="s">
        <v>1673</v>
      </c>
      <c r="C316" t="str">
        <f>"45.75"</f>
        <v>45.75</v>
      </c>
      <c r="D316" t="s">
        <v>1765</v>
      </c>
    </row>
    <row r="317" spans="1:4" x14ac:dyDescent="0.55000000000000004">
      <c r="A317" t="s">
        <v>1672</v>
      </c>
      <c r="B317" t="s">
        <v>1673</v>
      </c>
      <c r="C317" t="str">
        <f>"45.76"</f>
        <v>45.76</v>
      </c>
      <c r="D317" t="s">
        <v>1766</v>
      </c>
    </row>
    <row r="318" spans="1:4" x14ac:dyDescent="0.55000000000000004">
      <c r="A318" t="s">
        <v>1672</v>
      </c>
      <c r="B318" t="s">
        <v>1673</v>
      </c>
      <c r="C318" t="str">
        <f>"45.79"</f>
        <v>45.79</v>
      </c>
      <c r="D318" t="s">
        <v>1767</v>
      </c>
    </row>
    <row r="319" spans="1:4" x14ac:dyDescent="0.55000000000000004">
      <c r="A319" t="s">
        <v>1672</v>
      </c>
      <c r="B319" t="s">
        <v>1673</v>
      </c>
      <c r="C319" t="str">
        <f>"45.81"</f>
        <v>45.81</v>
      </c>
      <c r="D319" t="s">
        <v>1768</v>
      </c>
    </row>
    <row r="320" spans="1:4" x14ac:dyDescent="0.55000000000000004">
      <c r="A320" t="s">
        <v>1672</v>
      </c>
      <c r="B320" t="s">
        <v>1673</v>
      </c>
      <c r="C320" t="str">
        <f>"45.82"</f>
        <v>45.82</v>
      </c>
      <c r="D320" t="s">
        <v>1769</v>
      </c>
    </row>
    <row r="321" spans="1:4" x14ac:dyDescent="0.55000000000000004">
      <c r="A321" t="s">
        <v>1672</v>
      </c>
      <c r="B321" t="s">
        <v>1673</v>
      </c>
      <c r="C321" t="str">
        <f>"45.83"</f>
        <v>45.83</v>
      </c>
      <c r="D321" t="s">
        <v>1770</v>
      </c>
    </row>
    <row r="322" spans="1:4" x14ac:dyDescent="0.55000000000000004">
      <c r="A322" t="s">
        <v>1672</v>
      </c>
      <c r="B322" t="s">
        <v>1673</v>
      </c>
      <c r="C322" t="str">
        <f>"45.90"</f>
        <v>45.90</v>
      </c>
      <c r="D322" t="s">
        <v>1771</v>
      </c>
    </row>
    <row r="323" spans="1:4" x14ac:dyDescent="0.55000000000000004">
      <c r="A323" t="s">
        <v>1672</v>
      </c>
      <c r="B323" t="s">
        <v>1673</v>
      </c>
      <c r="C323" t="str">
        <f>"45.91"</f>
        <v>45.91</v>
      </c>
      <c r="D323" t="s">
        <v>1772</v>
      </c>
    </row>
    <row r="324" spans="1:4" x14ac:dyDescent="0.55000000000000004">
      <c r="A324" t="s">
        <v>1672</v>
      </c>
      <c r="B324" t="s">
        <v>1673</v>
      </c>
      <c r="C324" t="str">
        <f>"45.92"</f>
        <v>45.92</v>
      </c>
      <c r="D324" t="s">
        <v>1773</v>
      </c>
    </row>
    <row r="325" spans="1:4" x14ac:dyDescent="0.55000000000000004">
      <c r="A325" t="s">
        <v>1672</v>
      </c>
      <c r="B325" t="s">
        <v>1673</v>
      </c>
      <c r="C325" t="str">
        <f>"45.93"</f>
        <v>45.93</v>
      </c>
      <c r="D325" t="s">
        <v>1774</v>
      </c>
    </row>
    <row r="326" spans="1:4" x14ac:dyDescent="0.55000000000000004">
      <c r="A326" t="s">
        <v>1672</v>
      </c>
      <c r="B326" t="s">
        <v>1673</v>
      </c>
      <c r="C326" t="str">
        <f>"45.94"</f>
        <v>45.94</v>
      </c>
      <c r="D326" t="s">
        <v>1775</v>
      </c>
    </row>
    <row r="327" spans="1:4" x14ac:dyDescent="0.55000000000000004">
      <c r="A327" t="s">
        <v>1672</v>
      </c>
      <c r="B327" t="s">
        <v>1673</v>
      </c>
      <c r="C327" t="str">
        <f>"45.95"</f>
        <v>45.95</v>
      </c>
      <c r="D327" t="s">
        <v>1776</v>
      </c>
    </row>
    <row r="328" spans="1:4" x14ac:dyDescent="0.55000000000000004">
      <c r="A328" t="s">
        <v>1672</v>
      </c>
      <c r="B328" t="s">
        <v>1673</v>
      </c>
      <c r="C328" t="str">
        <f>"46.01"</f>
        <v>46.01</v>
      </c>
      <c r="D328" t="s">
        <v>1777</v>
      </c>
    </row>
    <row r="329" spans="1:4" x14ac:dyDescent="0.55000000000000004">
      <c r="A329" t="s">
        <v>1672</v>
      </c>
      <c r="B329" t="s">
        <v>1673</v>
      </c>
      <c r="C329" t="str">
        <f>"46.02"</f>
        <v>46.02</v>
      </c>
      <c r="D329" t="s">
        <v>1778</v>
      </c>
    </row>
    <row r="330" spans="1:4" x14ac:dyDescent="0.55000000000000004">
      <c r="A330" t="s">
        <v>1672</v>
      </c>
      <c r="B330" t="s">
        <v>1673</v>
      </c>
      <c r="C330" t="str">
        <f>"46.03"</f>
        <v>46.03</v>
      </c>
      <c r="D330" t="s">
        <v>1779</v>
      </c>
    </row>
    <row r="331" spans="1:4" x14ac:dyDescent="0.55000000000000004">
      <c r="A331" t="s">
        <v>1672</v>
      </c>
      <c r="B331" t="s">
        <v>1673</v>
      </c>
      <c r="C331" t="str">
        <f>"46.04"</f>
        <v>46.04</v>
      </c>
      <c r="D331" t="s">
        <v>1780</v>
      </c>
    </row>
    <row r="332" spans="1:4" x14ac:dyDescent="0.55000000000000004">
      <c r="A332" t="s">
        <v>1672</v>
      </c>
      <c r="B332" t="s">
        <v>1673</v>
      </c>
      <c r="C332" t="str">
        <f>"46.10"</f>
        <v>46.10</v>
      </c>
      <c r="D332" t="s">
        <v>1781</v>
      </c>
    </row>
    <row r="333" spans="1:4" x14ac:dyDescent="0.55000000000000004">
      <c r="A333" t="s">
        <v>1672</v>
      </c>
      <c r="B333" t="s">
        <v>1673</v>
      </c>
      <c r="C333" t="str">
        <f>"46.11"</f>
        <v>46.11</v>
      </c>
      <c r="D333" t="s">
        <v>1782</v>
      </c>
    </row>
    <row r="334" spans="1:4" x14ac:dyDescent="0.55000000000000004">
      <c r="A334" t="s">
        <v>1672</v>
      </c>
      <c r="B334" t="s">
        <v>1673</v>
      </c>
      <c r="C334" t="str">
        <f>"46.13"</f>
        <v>46.13</v>
      </c>
      <c r="D334" t="s">
        <v>1783</v>
      </c>
    </row>
    <row r="335" spans="1:4" x14ac:dyDescent="0.55000000000000004">
      <c r="A335" t="s">
        <v>1672</v>
      </c>
      <c r="B335" t="s">
        <v>1673</v>
      </c>
      <c r="C335" t="str">
        <f>"46.20"</f>
        <v>46.20</v>
      </c>
      <c r="D335" t="s">
        <v>1784</v>
      </c>
    </row>
    <row r="336" spans="1:4" x14ac:dyDescent="0.55000000000000004">
      <c r="A336" t="s">
        <v>1672</v>
      </c>
      <c r="B336" t="s">
        <v>1673</v>
      </c>
      <c r="C336" t="str">
        <f>"46.21"</f>
        <v>46.21</v>
      </c>
      <c r="D336" t="s">
        <v>1785</v>
      </c>
    </row>
    <row r="337" spans="1:4" x14ac:dyDescent="0.55000000000000004">
      <c r="A337" t="s">
        <v>1672</v>
      </c>
      <c r="B337" t="s">
        <v>1673</v>
      </c>
      <c r="C337" t="str">
        <f>"46.22"</f>
        <v>46.22</v>
      </c>
      <c r="D337" t="s">
        <v>1786</v>
      </c>
    </row>
    <row r="338" spans="1:4" x14ac:dyDescent="0.55000000000000004">
      <c r="A338" t="s">
        <v>1672</v>
      </c>
      <c r="B338" t="s">
        <v>1673</v>
      </c>
      <c r="C338" t="str">
        <f>"46.23"</f>
        <v>46.23</v>
      </c>
      <c r="D338" t="s">
        <v>1787</v>
      </c>
    </row>
    <row r="339" spans="1:4" x14ac:dyDescent="0.55000000000000004">
      <c r="A339" t="s">
        <v>1672</v>
      </c>
      <c r="B339" t="s">
        <v>1673</v>
      </c>
      <c r="C339" t="str">
        <f>"46.39"</f>
        <v>46.39</v>
      </c>
      <c r="D339" t="s">
        <v>1788</v>
      </c>
    </row>
    <row r="340" spans="1:4" x14ac:dyDescent="0.55000000000000004">
      <c r="A340" t="s">
        <v>1672</v>
      </c>
      <c r="B340" t="s">
        <v>1673</v>
      </c>
      <c r="C340" t="str">
        <f>"46.40"</f>
        <v>46.40</v>
      </c>
      <c r="D340" t="s">
        <v>1789</v>
      </c>
    </row>
    <row r="341" spans="1:4" x14ac:dyDescent="0.55000000000000004">
      <c r="A341" t="s">
        <v>1672</v>
      </c>
      <c r="B341" t="s">
        <v>1673</v>
      </c>
      <c r="C341" t="str">
        <f>"46.41"</f>
        <v>46.41</v>
      </c>
      <c r="D341" t="s">
        <v>1790</v>
      </c>
    </row>
    <row r="342" spans="1:4" x14ac:dyDescent="0.55000000000000004">
      <c r="A342" t="s">
        <v>1672</v>
      </c>
      <c r="B342" t="s">
        <v>1673</v>
      </c>
      <c r="C342" t="str">
        <f>"46.42"</f>
        <v>46.42</v>
      </c>
      <c r="D342" t="s">
        <v>1791</v>
      </c>
    </row>
    <row r="343" spans="1:4" x14ac:dyDescent="0.55000000000000004">
      <c r="A343" t="s">
        <v>1672</v>
      </c>
      <c r="B343" t="s">
        <v>1673</v>
      </c>
      <c r="C343" t="str">
        <f>"46.43"</f>
        <v>46.43</v>
      </c>
      <c r="D343" t="s">
        <v>1792</v>
      </c>
    </row>
    <row r="344" spans="1:4" x14ac:dyDescent="0.55000000000000004">
      <c r="A344" t="s">
        <v>1672</v>
      </c>
      <c r="B344" t="s">
        <v>1673</v>
      </c>
      <c r="C344" t="str">
        <f>"46.50"</f>
        <v>46.50</v>
      </c>
      <c r="D344" t="s">
        <v>1793</v>
      </c>
    </row>
    <row r="345" spans="1:4" x14ac:dyDescent="0.55000000000000004">
      <c r="A345" t="s">
        <v>1672</v>
      </c>
      <c r="B345" t="s">
        <v>1673</v>
      </c>
      <c r="C345" t="str">
        <f>"46.51"</f>
        <v>46.51</v>
      </c>
      <c r="D345" t="s">
        <v>1794</v>
      </c>
    </row>
    <row r="346" spans="1:4" x14ac:dyDescent="0.55000000000000004">
      <c r="A346" t="s">
        <v>1672</v>
      </c>
      <c r="B346" t="s">
        <v>1673</v>
      </c>
      <c r="C346" t="str">
        <f>"46.52"</f>
        <v>46.52</v>
      </c>
      <c r="D346" t="s">
        <v>1795</v>
      </c>
    </row>
    <row r="347" spans="1:4" x14ac:dyDescent="0.55000000000000004">
      <c r="A347" t="s">
        <v>1672</v>
      </c>
      <c r="B347" t="s">
        <v>1673</v>
      </c>
      <c r="C347" t="str">
        <f>"46.60"</f>
        <v>46.60</v>
      </c>
      <c r="D347" t="s">
        <v>1796</v>
      </c>
    </row>
    <row r="348" spans="1:4" x14ac:dyDescent="0.55000000000000004">
      <c r="A348" t="s">
        <v>1672</v>
      </c>
      <c r="B348" t="s">
        <v>1673</v>
      </c>
      <c r="C348" t="str">
        <f>"46.61"</f>
        <v>46.61</v>
      </c>
      <c r="D348" t="s">
        <v>1797</v>
      </c>
    </row>
    <row r="349" spans="1:4" x14ac:dyDescent="0.55000000000000004">
      <c r="A349" t="s">
        <v>1672</v>
      </c>
      <c r="B349" t="s">
        <v>1673</v>
      </c>
      <c r="C349" t="str">
        <f>"46.62"</f>
        <v>46.62</v>
      </c>
      <c r="D349" t="s">
        <v>1798</v>
      </c>
    </row>
    <row r="350" spans="1:4" x14ac:dyDescent="0.55000000000000004">
      <c r="A350" t="s">
        <v>1672</v>
      </c>
      <c r="B350" t="s">
        <v>1673</v>
      </c>
      <c r="C350" t="str">
        <f>"46.63"</f>
        <v>46.63</v>
      </c>
      <c r="D350" t="s">
        <v>1799</v>
      </c>
    </row>
    <row r="351" spans="1:4" x14ac:dyDescent="0.55000000000000004">
      <c r="A351" t="s">
        <v>1672</v>
      </c>
      <c r="B351" t="s">
        <v>1673</v>
      </c>
      <c r="C351" t="str">
        <f>"46.64"</f>
        <v>46.64</v>
      </c>
      <c r="D351" t="s">
        <v>1800</v>
      </c>
    </row>
    <row r="352" spans="1:4" x14ac:dyDescent="0.55000000000000004">
      <c r="A352" t="s">
        <v>1672</v>
      </c>
      <c r="B352" t="s">
        <v>1673</v>
      </c>
      <c r="C352" t="str">
        <f>"46.71"</f>
        <v>46.71</v>
      </c>
      <c r="D352" t="s">
        <v>1801</v>
      </c>
    </row>
    <row r="353" spans="1:4" x14ac:dyDescent="0.55000000000000004">
      <c r="A353" t="s">
        <v>1672</v>
      </c>
      <c r="B353" t="s">
        <v>1673</v>
      </c>
      <c r="C353" t="str">
        <f>"46.72"</f>
        <v>46.72</v>
      </c>
      <c r="D353" t="s">
        <v>1802</v>
      </c>
    </row>
    <row r="354" spans="1:4" x14ac:dyDescent="0.55000000000000004">
      <c r="A354" t="s">
        <v>1672</v>
      </c>
      <c r="B354" t="s">
        <v>1673</v>
      </c>
      <c r="C354" t="str">
        <f>"46.73"</f>
        <v>46.73</v>
      </c>
      <c r="D354" t="s">
        <v>1803</v>
      </c>
    </row>
    <row r="355" spans="1:4" x14ac:dyDescent="0.55000000000000004">
      <c r="A355" t="s">
        <v>1672</v>
      </c>
      <c r="B355" t="s">
        <v>1673</v>
      </c>
      <c r="C355" t="str">
        <f>"46.74"</f>
        <v>46.74</v>
      </c>
      <c r="D355" t="s">
        <v>1804</v>
      </c>
    </row>
    <row r="356" spans="1:4" x14ac:dyDescent="0.55000000000000004">
      <c r="A356" t="s">
        <v>1672</v>
      </c>
      <c r="B356" t="s">
        <v>1673</v>
      </c>
      <c r="C356" t="str">
        <f>"46.75"</f>
        <v>46.75</v>
      </c>
      <c r="D356" t="s">
        <v>1805</v>
      </c>
    </row>
    <row r="357" spans="1:4" x14ac:dyDescent="0.55000000000000004">
      <c r="A357" t="s">
        <v>1672</v>
      </c>
      <c r="B357" t="s">
        <v>1673</v>
      </c>
      <c r="C357" t="str">
        <f>"46.76"</f>
        <v>46.76</v>
      </c>
      <c r="D357" t="s">
        <v>1806</v>
      </c>
    </row>
    <row r="358" spans="1:4" x14ac:dyDescent="0.55000000000000004">
      <c r="A358" t="s">
        <v>1672</v>
      </c>
      <c r="B358" t="s">
        <v>1673</v>
      </c>
      <c r="C358" t="str">
        <f>"46.79"</f>
        <v>46.79</v>
      </c>
      <c r="D358" t="s">
        <v>1807</v>
      </c>
    </row>
    <row r="359" spans="1:4" x14ac:dyDescent="0.55000000000000004">
      <c r="A359" t="s">
        <v>1672</v>
      </c>
      <c r="B359" t="s">
        <v>1673</v>
      </c>
      <c r="C359" t="str">
        <f>"46.80"</f>
        <v>46.80</v>
      </c>
      <c r="D359" t="s">
        <v>1808</v>
      </c>
    </row>
    <row r="360" spans="1:4" x14ac:dyDescent="0.55000000000000004">
      <c r="A360" t="s">
        <v>1672</v>
      </c>
      <c r="B360" t="s">
        <v>1673</v>
      </c>
      <c r="C360" t="str">
        <f>"46.81"</f>
        <v>46.81</v>
      </c>
      <c r="D360" t="s">
        <v>1809</v>
      </c>
    </row>
    <row r="361" spans="1:4" x14ac:dyDescent="0.55000000000000004">
      <c r="A361" t="s">
        <v>1672</v>
      </c>
      <c r="B361" t="s">
        <v>1673</v>
      </c>
      <c r="C361" t="str">
        <f>"46.82"</f>
        <v>46.82</v>
      </c>
      <c r="D361" t="s">
        <v>1810</v>
      </c>
    </row>
    <row r="362" spans="1:4" x14ac:dyDescent="0.55000000000000004">
      <c r="A362" t="s">
        <v>1672</v>
      </c>
      <c r="B362" t="s">
        <v>1673</v>
      </c>
      <c r="C362" t="str">
        <f>"46.93"</f>
        <v>46.93</v>
      </c>
      <c r="D362" t="s">
        <v>1811</v>
      </c>
    </row>
    <row r="363" spans="1:4" x14ac:dyDescent="0.55000000000000004">
      <c r="A363" t="s">
        <v>1672</v>
      </c>
      <c r="B363" t="s">
        <v>1673</v>
      </c>
      <c r="C363" t="str">
        <f>"46.94"</f>
        <v>46.94</v>
      </c>
      <c r="D363" t="s">
        <v>1812</v>
      </c>
    </row>
    <row r="364" spans="1:4" x14ac:dyDescent="0.55000000000000004">
      <c r="A364" t="s">
        <v>1672</v>
      </c>
      <c r="B364" t="s">
        <v>1673</v>
      </c>
      <c r="C364" t="str">
        <f>"46.97"</f>
        <v>46.97</v>
      </c>
      <c r="D364" t="s">
        <v>1813</v>
      </c>
    </row>
    <row r="365" spans="1:4" x14ac:dyDescent="0.55000000000000004">
      <c r="A365" t="s">
        <v>1672</v>
      </c>
      <c r="B365" t="s">
        <v>1673</v>
      </c>
      <c r="C365" t="str">
        <f>"47.91"</f>
        <v>47.91</v>
      </c>
      <c r="D365" t="s">
        <v>1814</v>
      </c>
    </row>
    <row r="366" spans="1:4" x14ac:dyDescent="0.55000000000000004">
      <c r="A366" t="s">
        <v>1672</v>
      </c>
      <c r="B366" t="s">
        <v>1673</v>
      </c>
      <c r="C366" t="str">
        <f>"47.92"</f>
        <v>47.92</v>
      </c>
      <c r="D366" t="s">
        <v>1815</v>
      </c>
    </row>
    <row r="367" spans="1:4" x14ac:dyDescent="0.55000000000000004">
      <c r="A367" t="s">
        <v>1672</v>
      </c>
      <c r="B367" t="s">
        <v>1673</v>
      </c>
      <c r="C367" t="str">
        <f>"48.0"</f>
        <v>48.0</v>
      </c>
      <c r="D367" t="s">
        <v>1816</v>
      </c>
    </row>
    <row r="368" spans="1:4" x14ac:dyDescent="0.55000000000000004">
      <c r="A368" t="s">
        <v>1672</v>
      </c>
      <c r="B368" t="s">
        <v>1673</v>
      </c>
      <c r="C368" t="str">
        <f>"48.1"</f>
        <v>48.1</v>
      </c>
      <c r="D368" t="s">
        <v>1817</v>
      </c>
    </row>
    <row r="369" spans="1:4" x14ac:dyDescent="0.55000000000000004">
      <c r="A369" t="s">
        <v>1672</v>
      </c>
      <c r="B369" t="s">
        <v>1673</v>
      </c>
      <c r="C369" t="str">
        <f>"48.21"</f>
        <v>48.21</v>
      </c>
      <c r="D369" t="s">
        <v>1818</v>
      </c>
    </row>
    <row r="370" spans="1:4" x14ac:dyDescent="0.55000000000000004">
      <c r="A370" t="s">
        <v>1672</v>
      </c>
      <c r="B370" t="s">
        <v>1673</v>
      </c>
      <c r="C370" t="str">
        <f>"48.40"</f>
        <v>48.40</v>
      </c>
      <c r="D370" t="s">
        <v>1819</v>
      </c>
    </row>
    <row r="371" spans="1:4" x14ac:dyDescent="0.55000000000000004">
      <c r="A371" t="s">
        <v>1672</v>
      </c>
      <c r="B371" t="s">
        <v>1673</v>
      </c>
      <c r="C371" t="str">
        <f>"48.41"</f>
        <v>48.41</v>
      </c>
      <c r="D371" t="s">
        <v>1820</v>
      </c>
    </row>
    <row r="372" spans="1:4" x14ac:dyDescent="0.55000000000000004">
      <c r="A372" t="s">
        <v>1672</v>
      </c>
      <c r="B372" t="s">
        <v>1673</v>
      </c>
      <c r="C372" t="str">
        <f>"48.42"</f>
        <v>48.42</v>
      </c>
      <c r="D372" t="s">
        <v>1821</v>
      </c>
    </row>
    <row r="373" spans="1:4" x14ac:dyDescent="0.55000000000000004">
      <c r="A373" t="s">
        <v>1672</v>
      </c>
      <c r="B373" t="s">
        <v>1673</v>
      </c>
      <c r="C373" t="str">
        <f>"48.43"</f>
        <v>48.43</v>
      </c>
      <c r="D373" t="s">
        <v>1822</v>
      </c>
    </row>
    <row r="374" spans="1:4" x14ac:dyDescent="0.55000000000000004">
      <c r="A374" t="s">
        <v>1672</v>
      </c>
      <c r="B374" t="s">
        <v>1673</v>
      </c>
      <c r="C374" t="str">
        <f>"48.49"</f>
        <v>48.49</v>
      </c>
      <c r="D374" t="s">
        <v>1823</v>
      </c>
    </row>
    <row r="375" spans="1:4" x14ac:dyDescent="0.55000000000000004">
      <c r="A375" t="s">
        <v>1672</v>
      </c>
      <c r="B375" t="s">
        <v>1673</v>
      </c>
      <c r="C375" t="str">
        <f>"48.50"</f>
        <v>48.50</v>
      </c>
      <c r="D375" t="s">
        <v>1824</v>
      </c>
    </row>
    <row r="376" spans="1:4" x14ac:dyDescent="0.55000000000000004">
      <c r="A376" t="s">
        <v>1672</v>
      </c>
      <c r="B376" t="s">
        <v>1673</v>
      </c>
      <c r="C376" t="str">
        <f>"48.51"</f>
        <v>48.51</v>
      </c>
      <c r="D376" t="s">
        <v>1825</v>
      </c>
    </row>
    <row r="377" spans="1:4" x14ac:dyDescent="0.55000000000000004">
      <c r="A377" t="s">
        <v>1672</v>
      </c>
      <c r="B377" t="s">
        <v>1673</v>
      </c>
      <c r="C377" t="str">
        <f>"48.52"</f>
        <v>48.52</v>
      </c>
      <c r="D377" t="s">
        <v>1826</v>
      </c>
    </row>
    <row r="378" spans="1:4" x14ac:dyDescent="0.55000000000000004">
      <c r="A378" t="s">
        <v>1672</v>
      </c>
      <c r="B378" t="s">
        <v>1673</v>
      </c>
      <c r="C378" t="str">
        <f>"48.59"</f>
        <v>48.59</v>
      </c>
      <c r="D378" t="s">
        <v>1827</v>
      </c>
    </row>
    <row r="379" spans="1:4" x14ac:dyDescent="0.55000000000000004">
      <c r="A379" t="s">
        <v>1672</v>
      </c>
      <c r="B379" t="s">
        <v>1673</v>
      </c>
      <c r="C379" t="str">
        <f>"48.61"</f>
        <v>48.61</v>
      </c>
      <c r="D379" t="s">
        <v>1828</v>
      </c>
    </row>
    <row r="380" spans="1:4" x14ac:dyDescent="0.55000000000000004">
      <c r="A380" t="s">
        <v>1672</v>
      </c>
      <c r="B380" t="s">
        <v>1673</v>
      </c>
      <c r="C380" t="str">
        <f>"48.62"</f>
        <v>48.62</v>
      </c>
      <c r="D380" t="s">
        <v>1829</v>
      </c>
    </row>
    <row r="381" spans="1:4" x14ac:dyDescent="0.55000000000000004">
      <c r="A381" t="s">
        <v>1672</v>
      </c>
      <c r="B381" t="s">
        <v>1673</v>
      </c>
      <c r="C381" t="str">
        <f>"48.63"</f>
        <v>48.63</v>
      </c>
      <c r="D381" t="s">
        <v>1830</v>
      </c>
    </row>
    <row r="382" spans="1:4" x14ac:dyDescent="0.55000000000000004">
      <c r="A382" t="s">
        <v>1672</v>
      </c>
      <c r="B382" t="s">
        <v>1673</v>
      </c>
      <c r="C382" t="str">
        <f>"48.631"</f>
        <v>48.631</v>
      </c>
      <c r="D382" t="s">
        <v>1831</v>
      </c>
    </row>
    <row r="383" spans="1:4" x14ac:dyDescent="0.55000000000000004">
      <c r="A383" t="s">
        <v>1672</v>
      </c>
      <c r="B383" t="s">
        <v>1673</v>
      </c>
      <c r="C383" t="str">
        <f>"48.632"</f>
        <v>48.632</v>
      </c>
      <c r="D383" t="s">
        <v>1832</v>
      </c>
    </row>
    <row r="384" spans="1:4" x14ac:dyDescent="0.55000000000000004">
      <c r="A384" t="s">
        <v>1672</v>
      </c>
      <c r="B384" t="s">
        <v>1673</v>
      </c>
      <c r="C384" t="str">
        <f>"48.64"</f>
        <v>48.64</v>
      </c>
      <c r="D384" t="s">
        <v>1833</v>
      </c>
    </row>
    <row r="385" spans="1:4" x14ac:dyDescent="0.55000000000000004">
      <c r="A385" t="s">
        <v>1672</v>
      </c>
      <c r="B385" t="s">
        <v>1673</v>
      </c>
      <c r="C385" t="str">
        <f>"48.65"</f>
        <v>48.65</v>
      </c>
      <c r="D385" t="s">
        <v>1834</v>
      </c>
    </row>
    <row r="386" spans="1:4" x14ac:dyDescent="0.55000000000000004">
      <c r="A386" t="s">
        <v>1672</v>
      </c>
      <c r="B386" t="s">
        <v>1673</v>
      </c>
      <c r="C386" t="str">
        <f>"48.69"</f>
        <v>48.69</v>
      </c>
      <c r="D386" t="s">
        <v>1835</v>
      </c>
    </row>
    <row r="387" spans="1:4" x14ac:dyDescent="0.55000000000000004">
      <c r="A387" t="s">
        <v>1672</v>
      </c>
      <c r="B387" t="s">
        <v>1673</v>
      </c>
      <c r="C387" t="str">
        <f>"48.71"</f>
        <v>48.71</v>
      </c>
      <c r="D387" t="s">
        <v>1836</v>
      </c>
    </row>
    <row r="388" spans="1:4" x14ac:dyDescent="0.55000000000000004">
      <c r="A388" t="s">
        <v>1672</v>
      </c>
      <c r="B388" t="s">
        <v>1673</v>
      </c>
      <c r="C388" t="str">
        <f>"48.72"</f>
        <v>48.72</v>
      </c>
      <c r="D388" t="s">
        <v>1837</v>
      </c>
    </row>
    <row r="389" spans="1:4" x14ac:dyDescent="0.55000000000000004">
      <c r="A389" t="s">
        <v>1672</v>
      </c>
      <c r="B389" t="s">
        <v>1673</v>
      </c>
      <c r="C389" t="str">
        <f>"48.73"</f>
        <v>48.73</v>
      </c>
      <c r="D389" t="s">
        <v>1838</v>
      </c>
    </row>
    <row r="390" spans="1:4" x14ac:dyDescent="0.55000000000000004">
      <c r="A390" t="s">
        <v>1672</v>
      </c>
      <c r="B390" t="s">
        <v>1673</v>
      </c>
      <c r="C390" t="str">
        <f>"48.74"</f>
        <v>48.74</v>
      </c>
      <c r="D390" t="s">
        <v>1839</v>
      </c>
    </row>
    <row r="391" spans="1:4" x14ac:dyDescent="0.55000000000000004">
      <c r="A391" t="s">
        <v>1672</v>
      </c>
      <c r="B391" t="s">
        <v>1673</v>
      </c>
      <c r="C391" t="str">
        <f>"48.79"</f>
        <v>48.79</v>
      </c>
      <c r="D391" t="s">
        <v>1840</v>
      </c>
    </row>
    <row r="392" spans="1:4" x14ac:dyDescent="0.55000000000000004">
      <c r="A392" t="s">
        <v>1672</v>
      </c>
      <c r="B392" t="s">
        <v>1673</v>
      </c>
      <c r="C392" t="str">
        <f>"48.82"</f>
        <v>48.82</v>
      </c>
      <c r="D392" t="s">
        <v>1841</v>
      </c>
    </row>
    <row r="393" spans="1:4" x14ac:dyDescent="0.55000000000000004">
      <c r="A393" t="s">
        <v>1672</v>
      </c>
      <c r="B393" t="s">
        <v>1673</v>
      </c>
      <c r="C393" t="str">
        <f>"48.93"</f>
        <v>48.93</v>
      </c>
      <c r="D393" t="s">
        <v>1842</v>
      </c>
    </row>
    <row r="394" spans="1:4" x14ac:dyDescent="0.55000000000000004">
      <c r="A394" t="s">
        <v>1672</v>
      </c>
      <c r="B394" t="s">
        <v>1673</v>
      </c>
      <c r="C394" t="str">
        <f>"48.99"</f>
        <v>48.99</v>
      </c>
      <c r="D394" t="s">
        <v>1843</v>
      </c>
    </row>
    <row r="395" spans="1:4" x14ac:dyDescent="0.55000000000000004">
      <c r="A395" t="s">
        <v>1672</v>
      </c>
      <c r="B395" t="s">
        <v>1673</v>
      </c>
      <c r="C395" t="str">
        <f>"49.04"</f>
        <v>49.04</v>
      </c>
      <c r="D395" t="s">
        <v>1844</v>
      </c>
    </row>
    <row r="396" spans="1:4" x14ac:dyDescent="0.55000000000000004">
      <c r="A396" t="s">
        <v>1672</v>
      </c>
      <c r="B396" t="s">
        <v>1673</v>
      </c>
      <c r="C396" t="str">
        <f>"49.6"</f>
        <v>49.6</v>
      </c>
      <c r="D396" t="s">
        <v>1845</v>
      </c>
    </row>
    <row r="397" spans="1:4" x14ac:dyDescent="0.55000000000000004">
      <c r="A397" t="s">
        <v>1672</v>
      </c>
      <c r="B397" t="s">
        <v>1673</v>
      </c>
      <c r="C397" t="str">
        <f>"49.71"</f>
        <v>49.71</v>
      </c>
      <c r="D397" t="s">
        <v>1846</v>
      </c>
    </row>
    <row r="398" spans="1:4" x14ac:dyDescent="0.55000000000000004">
      <c r="A398" t="s">
        <v>1672</v>
      </c>
      <c r="B398" t="s">
        <v>1673</v>
      </c>
      <c r="C398" t="str">
        <f>"49.72"</f>
        <v>49.72</v>
      </c>
      <c r="D398" t="s">
        <v>1847</v>
      </c>
    </row>
    <row r="399" spans="1:4" x14ac:dyDescent="0.55000000000000004">
      <c r="A399" t="s">
        <v>1672</v>
      </c>
      <c r="B399" t="s">
        <v>1673</v>
      </c>
      <c r="C399" t="str">
        <f>"49.73"</f>
        <v>49.73</v>
      </c>
      <c r="D399" t="s">
        <v>1848</v>
      </c>
    </row>
    <row r="400" spans="1:4" x14ac:dyDescent="0.55000000000000004">
      <c r="A400" t="s">
        <v>1672</v>
      </c>
      <c r="B400" t="s">
        <v>1673</v>
      </c>
      <c r="C400" t="str">
        <f>"49.74"</f>
        <v>49.74</v>
      </c>
      <c r="D400" t="s">
        <v>1849</v>
      </c>
    </row>
    <row r="401" spans="1:4" x14ac:dyDescent="0.55000000000000004">
      <c r="A401" t="s">
        <v>1672</v>
      </c>
      <c r="B401" t="s">
        <v>1673</v>
      </c>
      <c r="C401" t="str">
        <f>"49.75"</f>
        <v>49.75</v>
      </c>
      <c r="D401" t="s">
        <v>1850</v>
      </c>
    </row>
    <row r="402" spans="1:4" x14ac:dyDescent="0.55000000000000004">
      <c r="A402" t="s">
        <v>1672</v>
      </c>
      <c r="B402" t="s">
        <v>1673</v>
      </c>
      <c r="C402" t="str">
        <f>"49.76"</f>
        <v>49.76</v>
      </c>
      <c r="D402" t="s">
        <v>1851</v>
      </c>
    </row>
    <row r="403" spans="1:4" x14ac:dyDescent="0.55000000000000004">
      <c r="A403" t="s">
        <v>1672</v>
      </c>
      <c r="B403" t="s">
        <v>1673</v>
      </c>
      <c r="C403" t="str">
        <f>"49.79"</f>
        <v>49.79</v>
      </c>
      <c r="D403" t="s">
        <v>1852</v>
      </c>
    </row>
    <row r="404" spans="1:4" x14ac:dyDescent="0.55000000000000004">
      <c r="A404" t="s">
        <v>1672</v>
      </c>
      <c r="B404" t="s">
        <v>1673</v>
      </c>
      <c r="C404" t="str">
        <f>"49.95"</f>
        <v>49.95</v>
      </c>
      <c r="D404" t="s">
        <v>1853</v>
      </c>
    </row>
    <row r="405" spans="1:4" x14ac:dyDescent="0.55000000000000004">
      <c r="A405" t="s">
        <v>1672</v>
      </c>
      <c r="B405" t="s">
        <v>1673</v>
      </c>
      <c r="C405" t="str">
        <f>"50.0"</f>
        <v>50.0</v>
      </c>
      <c r="D405" t="s">
        <v>1854</v>
      </c>
    </row>
    <row r="406" spans="1:4" x14ac:dyDescent="0.55000000000000004">
      <c r="A406" t="s">
        <v>1672</v>
      </c>
      <c r="B406" t="s">
        <v>1673</v>
      </c>
      <c r="C406" t="str">
        <f>"50.22"</f>
        <v>50.22</v>
      </c>
      <c r="D406" t="s">
        <v>1855</v>
      </c>
    </row>
    <row r="407" spans="1:4" x14ac:dyDescent="0.55000000000000004">
      <c r="A407" t="s">
        <v>1672</v>
      </c>
      <c r="B407" t="s">
        <v>1673</v>
      </c>
      <c r="C407" t="str">
        <f>"50.23"</f>
        <v>50.23</v>
      </c>
      <c r="D407" t="s">
        <v>1856</v>
      </c>
    </row>
    <row r="408" spans="1:4" x14ac:dyDescent="0.55000000000000004">
      <c r="A408" t="s">
        <v>1672</v>
      </c>
      <c r="B408" t="s">
        <v>1673</v>
      </c>
      <c r="C408" t="str">
        <f>"50.24"</f>
        <v>50.24</v>
      </c>
      <c r="D408" t="s">
        <v>1857</v>
      </c>
    </row>
    <row r="409" spans="1:4" x14ac:dyDescent="0.55000000000000004">
      <c r="A409" t="s">
        <v>1672</v>
      </c>
      <c r="B409" t="s">
        <v>1673</v>
      </c>
      <c r="C409" t="str">
        <f>"50.25"</f>
        <v>50.25</v>
      </c>
      <c r="D409" t="s">
        <v>1858</v>
      </c>
    </row>
    <row r="410" spans="1:4" x14ac:dyDescent="0.55000000000000004">
      <c r="A410" t="s">
        <v>1672</v>
      </c>
      <c r="B410" t="s">
        <v>1673</v>
      </c>
      <c r="C410" t="str">
        <f>"50.26"</f>
        <v>50.26</v>
      </c>
      <c r="D410" t="s">
        <v>1859</v>
      </c>
    </row>
    <row r="411" spans="1:4" x14ac:dyDescent="0.55000000000000004">
      <c r="A411" t="s">
        <v>1672</v>
      </c>
      <c r="B411" t="s">
        <v>1673</v>
      </c>
      <c r="C411" t="str">
        <f>"50.29"</f>
        <v>50.29</v>
      </c>
      <c r="D411" t="s">
        <v>1860</v>
      </c>
    </row>
    <row r="412" spans="1:4" x14ac:dyDescent="0.55000000000000004">
      <c r="A412" t="s">
        <v>1672</v>
      </c>
      <c r="B412" t="s">
        <v>1673</v>
      </c>
      <c r="C412" t="str">
        <f>"50.3"</f>
        <v>50.3</v>
      </c>
      <c r="D412" t="s">
        <v>1861</v>
      </c>
    </row>
    <row r="413" spans="1:4" x14ac:dyDescent="0.55000000000000004">
      <c r="A413" t="s">
        <v>1672</v>
      </c>
      <c r="B413" t="s">
        <v>1673</v>
      </c>
      <c r="C413" t="str">
        <f>"50.4"</f>
        <v>50.4</v>
      </c>
      <c r="D413" t="s">
        <v>1862</v>
      </c>
    </row>
    <row r="414" spans="1:4" x14ac:dyDescent="0.55000000000000004">
      <c r="A414" t="s">
        <v>1672</v>
      </c>
      <c r="B414" t="s">
        <v>1673</v>
      </c>
      <c r="C414" t="str">
        <f>"50.40"</f>
        <v>50.40</v>
      </c>
      <c r="D414" t="s">
        <v>1863</v>
      </c>
    </row>
    <row r="415" spans="1:4" x14ac:dyDescent="0.55000000000000004">
      <c r="A415" t="s">
        <v>1672</v>
      </c>
      <c r="B415" t="s">
        <v>1673</v>
      </c>
      <c r="C415" t="str">
        <f>"50.61"</f>
        <v>50.61</v>
      </c>
      <c r="D415" t="s">
        <v>1864</v>
      </c>
    </row>
    <row r="416" spans="1:4" x14ac:dyDescent="0.55000000000000004">
      <c r="A416" t="s">
        <v>1672</v>
      </c>
      <c r="B416" t="s">
        <v>1673</v>
      </c>
      <c r="C416" t="str">
        <f>"50.69"</f>
        <v>50.69</v>
      </c>
      <c r="D416" t="s">
        <v>1865</v>
      </c>
    </row>
    <row r="417" spans="1:4" x14ac:dyDescent="0.55000000000000004">
      <c r="A417" t="s">
        <v>1672</v>
      </c>
      <c r="B417" t="s">
        <v>1673</v>
      </c>
      <c r="C417" t="str">
        <f>"51.02"</f>
        <v>51.02</v>
      </c>
      <c r="D417" t="s">
        <v>1866</v>
      </c>
    </row>
    <row r="418" spans="1:4" x14ac:dyDescent="0.55000000000000004">
      <c r="A418" t="s">
        <v>1672</v>
      </c>
      <c r="B418" t="s">
        <v>1673</v>
      </c>
      <c r="C418" t="str">
        <f>"51.03"</f>
        <v>51.03</v>
      </c>
      <c r="D418" t="s">
        <v>1867</v>
      </c>
    </row>
    <row r="419" spans="1:4" x14ac:dyDescent="0.55000000000000004">
      <c r="A419" t="s">
        <v>1672</v>
      </c>
      <c r="B419" t="s">
        <v>1673</v>
      </c>
      <c r="C419" t="str">
        <f>"51.04"</f>
        <v>51.04</v>
      </c>
      <c r="D419" t="s">
        <v>1868</v>
      </c>
    </row>
    <row r="420" spans="1:4" x14ac:dyDescent="0.55000000000000004">
      <c r="A420" t="s">
        <v>1672</v>
      </c>
      <c r="B420" t="s">
        <v>1673</v>
      </c>
      <c r="C420" t="str">
        <f>"51.21"</f>
        <v>51.21</v>
      </c>
      <c r="D420" t="s">
        <v>1869</v>
      </c>
    </row>
    <row r="421" spans="1:4" x14ac:dyDescent="0.55000000000000004">
      <c r="A421" t="s">
        <v>1672</v>
      </c>
      <c r="B421" t="s">
        <v>1673</v>
      </c>
      <c r="C421" t="str">
        <f>"51.22"</f>
        <v>51.22</v>
      </c>
      <c r="D421" t="s">
        <v>1870</v>
      </c>
    </row>
    <row r="422" spans="1:4" x14ac:dyDescent="0.55000000000000004">
      <c r="A422" t="s">
        <v>1672</v>
      </c>
      <c r="B422" t="s">
        <v>1673</v>
      </c>
      <c r="C422" t="str">
        <f>"51.23"</f>
        <v>51.23</v>
      </c>
      <c r="D422" t="s">
        <v>1871</v>
      </c>
    </row>
    <row r="423" spans="1:4" x14ac:dyDescent="0.55000000000000004">
      <c r="A423" t="s">
        <v>1672</v>
      </c>
      <c r="B423" t="s">
        <v>1673</v>
      </c>
      <c r="C423" t="str">
        <f>"51.24"</f>
        <v>51.24</v>
      </c>
      <c r="D423" t="s">
        <v>1872</v>
      </c>
    </row>
    <row r="424" spans="1:4" x14ac:dyDescent="0.55000000000000004">
      <c r="A424" t="s">
        <v>1672</v>
      </c>
      <c r="B424" t="s">
        <v>1673</v>
      </c>
      <c r="C424" t="str">
        <f>"51.31"</f>
        <v>51.31</v>
      </c>
      <c r="D424" t="s">
        <v>1873</v>
      </c>
    </row>
    <row r="425" spans="1:4" x14ac:dyDescent="0.55000000000000004">
      <c r="A425" t="s">
        <v>1672</v>
      </c>
      <c r="B425" t="s">
        <v>1673</v>
      </c>
      <c r="C425" t="str">
        <f>"51.32"</f>
        <v>51.32</v>
      </c>
      <c r="D425" t="s">
        <v>1874</v>
      </c>
    </row>
    <row r="426" spans="1:4" x14ac:dyDescent="0.55000000000000004">
      <c r="A426" t="s">
        <v>1672</v>
      </c>
      <c r="B426" t="s">
        <v>1673</v>
      </c>
      <c r="C426" t="str">
        <f>"51.33"</f>
        <v>51.33</v>
      </c>
      <c r="D426" t="s">
        <v>1875</v>
      </c>
    </row>
    <row r="427" spans="1:4" x14ac:dyDescent="0.55000000000000004">
      <c r="A427" t="s">
        <v>1672</v>
      </c>
      <c r="B427" t="s">
        <v>1673</v>
      </c>
      <c r="C427" t="str">
        <f>"51.34"</f>
        <v>51.34</v>
      </c>
      <c r="D427" t="s">
        <v>1876</v>
      </c>
    </row>
    <row r="428" spans="1:4" x14ac:dyDescent="0.55000000000000004">
      <c r="A428" t="s">
        <v>1672</v>
      </c>
      <c r="B428" t="s">
        <v>1673</v>
      </c>
      <c r="C428" t="str">
        <f>"51.35"</f>
        <v>51.35</v>
      </c>
      <c r="D428" t="s">
        <v>1877</v>
      </c>
    </row>
    <row r="429" spans="1:4" x14ac:dyDescent="0.55000000000000004">
      <c r="A429" t="s">
        <v>1672</v>
      </c>
      <c r="B429" t="s">
        <v>1673</v>
      </c>
      <c r="C429" t="str">
        <f>"51.36"</f>
        <v>51.36</v>
      </c>
      <c r="D429" t="s">
        <v>1878</v>
      </c>
    </row>
    <row r="430" spans="1:4" x14ac:dyDescent="0.55000000000000004">
      <c r="A430" t="s">
        <v>1672</v>
      </c>
      <c r="B430" t="s">
        <v>1673</v>
      </c>
      <c r="C430" t="str">
        <f>"51.37"</f>
        <v>51.37</v>
      </c>
      <c r="D430" t="s">
        <v>1879</v>
      </c>
    </row>
    <row r="431" spans="1:4" x14ac:dyDescent="0.55000000000000004">
      <c r="A431" t="s">
        <v>1672</v>
      </c>
      <c r="B431" t="s">
        <v>1673</v>
      </c>
      <c r="C431" t="str">
        <f>"51.39"</f>
        <v>51.39</v>
      </c>
      <c r="D431" t="s">
        <v>1880</v>
      </c>
    </row>
    <row r="432" spans="1:4" x14ac:dyDescent="0.55000000000000004">
      <c r="A432" t="s">
        <v>1672</v>
      </c>
      <c r="B432" t="s">
        <v>1673</v>
      </c>
      <c r="C432" t="str">
        <f>"51.42"</f>
        <v>51.42</v>
      </c>
      <c r="D432" t="s">
        <v>1881</v>
      </c>
    </row>
    <row r="433" spans="1:4" x14ac:dyDescent="0.55000000000000004">
      <c r="A433" t="s">
        <v>1672</v>
      </c>
      <c r="B433" t="s">
        <v>1673</v>
      </c>
      <c r="C433" t="str">
        <f>"51.43"</f>
        <v>51.43</v>
      </c>
      <c r="D433" t="s">
        <v>1882</v>
      </c>
    </row>
    <row r="434" spans="1:4" x14ac:dyDescent="0.55000000000000004">
      <c r="A434" t="s">
        <v>1672</v>
      </c>
      <c r="B434" t="s">
        <v>1673</v>
      </c>
      <c r="C434" t="str">
        <f>"51.49"</f>
        <v>51.49</v>
      </c>
      <c r="D434" t="s">
        <v>1883</v>
      </c>
    </row>
    <row r="435" spans="1:4" x14ac:dyDescent="0.55000000000000004">
      <c r="A435" t="s">
        <v>1672</v>
      </c>
      <c r="B435" t="s">
        <v>1673</v>
      </c>
      <c r="C435" t="str">
        <f>"51.51"</f>
        <v>51.51</v>
      </c>
      <c r="D435" t="s">
        <v>1884</v>
      </c>
    </row>
    <row r="436" spans="1:4" x14ac:dyDescent="0.55000000000000004">
      <c r="A436" t="s">
        <v>1672</v>
      </c>
      <c r="B436" t="s">
        <v>1673</v>
      </c>
      <c r="C436" t="str">
        <f>"51.59"</f>
        <v>51.59</v>
      </c>
      <c r="D436" t="s">
        <v>1885</v>
      </c>
    </row>
    <row r="437" spans="1:4" x14ac:dyDescent="0.55000000000000004">
      <c r="A437" t="s">
        <v>1672</v>
      </c>
      <c r="B437" t="s">
        <v>1673</v>
      </c>
      <c r="C437" t="str">
        <f>"51.63"</f>
        <v>51.63</v>
      </c>
      <c r="D437" t="s">
        <v>1886</v>
      </c>
    </row>
    <row r="438" spans="1:4" x14ac:dyDescent="0.55000000000000004">
      <c r="A438" t="s">
        <v>1672</v>
      </c>
      <c r="B438" t="s">
        <v>1673</v>
      </c>
      <c r="C438" t="str">
        <f>"51.69"</f>
        <v>51.69</v>
      </c>
      <c r="D438" t="s">
        <v>1887</v>
      </c>
    </row>
    <row r="439" spans="1:4" x14ac:dyDescent="0.55000000000000004">
      <c r="A439" t="s">
        <v>1672</v>
      </c>
      <c r="B439" t="s">
        <v>1673</v>
      </c>
      <c r="C439" t="str">
        <f>"51.71"</f>
        <v>51.71</v>
      </c>
      <c r="D439" t="s">
        <v>1888</v>
      </c>
    </row>
    <row r="440" spans="1:4" x14ac:dyDescent="0.55000000000000004">
      <c r="A440" t="s">
        <v>1672</v>
      </c>
      <c r="B440" t="s">
        <v>1673</v>
      </c>
      <c r="C440" t="str">
        <f>"51.72"</f>
        <v>51.72</v>
      </c>
      <c r="D440" t="s">
        <v>1889</v>
      </c>
    </row>
    <row r="441" spans="1:4" x14ac:dyDescent="0.55000000000000004">
      <c r="A441" t="s">
        <v>1672</v>
      </c>
      <c r="B441" t="s">
        <v>1673</v>
      </c>
      <c r="C441" t="str">
        <f>"51.79"</f>
        <v>51.79</v>
      </c>
      <c r="D441" t="s">
        <v>1890</v>
      </c>
    </row>
    <row r="442" spans="1:4" x14ac:dyDescent="0.55000000000000004">
      <c r="A442" t="s">
        <v>1672</v>
      </c>
      <c r="B442" t="s">
        <v>1673</v>
      </c>
      <c r="C442" t="str">
        <f>"51.81"</f>
        <v>51.81</v>
      </c>
      <c r="D442" t="s">
        <v>1891</v>
      </c>
    </row>
    <row r="443" spans="1:4" x14ac:dyDescent="0.55000000000000004">
      <c r="A443" t="s">
        <v>1672</v>
      </c>
      <c r="B443" t="s">
        <v>1673</v>
      </c>
      <c r="C443" t="str">
        <f>"51.82"</f>
        <v>51.82</v>
      </c>
      <c r="D443" t="s">
        <v>1892</v>
      </c>
    </row>
    <row r="444" spans="1:4" x14ac:dyDescent="0.55000000000000004">
      <c r="A444" t="s">
        <v>1672</v>
      </c>
      <c r="B444" t="s">
        <v>1673</v>
      </c>
      <c r="C444" t="str">
        <f>"51.83"</f>
        <v>51.83</v>
      </c>
      <c r="D444" t="s">
        <v>1893</v>
      </c>
    </row>
    <row r="445" spans="1:4" x14ac:dyDescent="0.55000000000000004">
      <c r="A445" t="s">
        <v>1672</v>
      </c>
      <c r="B445" t="s">
        <v>1673</v>
      </c>
      <c r="C445" t="str">
        <f>"51.89"</f>
        <v>51.89</v>
      </c>
      <c r="D445" t="s">
        <v>1894</v>
      </c>
    </row>
    <row r="446" spans="1:4" x14ac:dyDescent="0.55000000000000004">
      <c r="A446" t="s">
        <v>1672</v>
      </c>
      <c r="B446" t="s">
        <v>1673</v>
      </c>
      <c r="C446" t="str">
        <f>"51.91"</f>
        <v>51.91</v>
      </c>
      <c r="D446" t="s">
        <v>1895</v>
      </c>
    </row>
    <row r="447" spans="1:4" x14ac:dyDescent="0.55000000000000004">
      <c r="A447" t="s">
        <v>1672</v>
      </c>
      <c r="B447" t="s">
        <v>1673</v>
      </c>
      <c r="C447" t="str">
        <f>"51.92"</f>
        <v>51.92</v>
      </c>
      <c r="D447" t="s">
        <v>1896</v>
      </c>
    </row>
    <row r="448" spans="1:4" x14ac:dyDescent="0.55000000000000004">
      <c r="A448" t="s">
        <v>1672</v>
      </c>
      <c r="B448" t="s">
        <v>1673</v>
      </c>
      <c r="C448" t="str">
        <f>"51.93"</f>
        <v>51.93</v>
      </c>
      <c r="D448" t="s">
        <v>1897</v>
      </c>
    </row>
    <row r="449" spans="1:4" x14ac:dyDescent="0.55000000000000004">
      <c r="A449" t="s">
        <v>1672</v>
      </c>
      <c r="B449" t="s">
        <v>1673</v>
      </c>
      <c r="C449" t="str">
        <f>"51.94"</f>
        <v>51.94</v>
      </c>
      <c r="D449" t="s">
        <v>1898</v>
      </c>
    </row>
    <row r="450" spans="1:4" x14ac:dyDescent="0.55000000000000004">
      <c r="A450" t="s">
        <v>1672</v>
      </c>
      <c r="B450" t="s">
        <v>1673</v>
      </c>
      <c r="C450" t="str">
        <f>"51.95"</f>
        <v>51.95</v>
      </c>
      <c r="D450" t="s">
        <v>1899</v>
      </c>
    </row>
    <row r="451" spans="1:4" x14ac:dyDescent="0.55000000000000004">
      <c r="A451" t="s">
        <v>1672</v>
      </c>
      <c r="B451" t="s">
        <v>1673</v>
      </c>
      <c r="C451" t="str">
        <f>"51.99"</f>
        <v>51.99</v>
      </c>
      <c r="D451" t="s">
        <v>1900</v>
      </c>
    </row>
    <row r="452" spans="1:4" x14ac:dyDescent="0.55000000000000004">
      <c r="A452" t="s">
        <v>1672</v>
      </c>
      <c r="B452" t="s">
        <v>1673</v>
      </c>
      <c r="C452" t="str">
        <f>"52.01"</f>
        <v>52.01</v>
      </c>
      <c r="D452" t="s">
        <v>1901</v>
      </c>
    </row>
    <row r="453" spans="1:4" x14ac:dyDescent="0.55000000000000004">
      <c r="A453" t="s">
        <v>1672</v>
      </c>
      <c r="B453" t="s">
        <v>1673</v>
      </c>
      <c r="C453" t="str">
        <f>"52.09"</f>
        <v>52.09</v>
      </c>
      <c r="D453" t="s">
        <v>1902</v>
      </c>
    </row>
    <row r="454" spans="1:4" x14ac:dyDescent="0.55000000000000004">
      <c r="A454" t="s">
        <v>1672</v>
      </c>
      <c r="B454" t="s">
        <v>1673</v>
      </c>
      <c r="C454" t="str">
        <f>"52.22"</f>
        <v>52.22</v>
      </c>
      <c r="D454" t="s">
        <v>1903</v>
      </c>
    </row>
    <row r="455" spans="1:4" x14ac:dyDescent="0.55000000000000004">
      <c r="A455" t="s">
        <v>1672</v>
      </c>
      <c r="B455" t="s">
        <v>1673</v>
      </c>
      <c r="C455" t="str">
        <f>"52.3"</f>
        <v>52.3</v>
      </c>
      <c r="D455" t="s">
        <v>1904</v>
      </c>
    </row>
    <row r="456" spans="1:4" x14ac:dyDescent="0.55000000000000004">
      <c r="A456" t="s">
        <v>1672</v>
      </c>
      <c r="B456" t="s">
        <v>1673</v>
      </c>
      <c r="C456" t="str">
        <f>"52.4"</f>
        <v>52.4</v>
      </c>
      <c r="D456" t="s">
        <v>1905</v>
      </c>
    </row>
    <row r="457" spans="1:4" x14ac:dyDescent="0.55000000000000004">
      <c r="A457" t="s">
        <v>1672</v>
      </c>
      <c r="B457" t="s">
        <v>1673</v>
      </c>
      <c r="C457" t="str">
        <f>"52.50"</f>
        <v>52.50</v>
      </c>
      <c r="D457" t="s">
        <v>1906</v>
      </c>
    </row>
    <row r="458" spans="1:4" x14ac:dyDescent="0.55000000000000004">
      <c r="A458" t="s">
        <v>1672</v>
      </c>
      <c r="B458" t="s">
        <v>1673</v>
      </c>
      <c r="C458" t="str">
        <f>"52.51"</f>
        <v>52.51</v>
      </c>
      <c r="D458" t="s">
        <v>1907</v>
      </c>
    </row>
    <row r="459" spans="1:4" x14ac:dyDescent="0.55000000000000004">
      <c r="A459" t="s">
        <v>1672</v>
      </c>
      <c r="B459" t="s">
        <v>1673</v>
      </c>
      <c r="C459" t="str">
        <f>"52.52"</f>
        <v>52.52</v>
      </c>
      <c r="D459" t="s">
        <v>1908</v>
      </c>
    </row>
    <row r="460" spans="1:4" x14ac:dyDescent="0.55000000000000004">
      <c r="A460" t="s">
        <v>1672</v>
      </c>
      <c r="B460" t="s">
        <v>1673</v>
      </c>
      <c r="C460" t="str">
        <f>"52.53"</f>
        <v>52.53</v>
      </c>
      <c r="D460" t="s">
        <v>1909</v>
      </c>
    </row>
    <row r="461" spans="1:4" x14ac:dyDescent="0.55000000000000004">
      <c r="A461" t="s">
        <v>1672</v>
      </c>
      <c r="B461" t="s">
        <v>1673</v>
      </c>
      <c r="C461" t="str">
        <f>"52.59"</f>
        <v>52.59</v>
      </c>
      <c r="D461" t="s">
        <v>1910</v>
      </c>
    </row>
    <row r="462" spans="1:4" x14ac:dyDescent="0.55000000000000004">
      <c r="A462" t="s">
        <v>1672</v>
      </c>
      <c r="B462" t="s">
        <v>1673</v>
      </c>
      <c r="C462" t="str">
        <f>"52.6"</f>
        <v>52.6</v>
      </c>
      <c r="D462" t="s">
        <v>1911</v>
      </c>
    </row>
    <row r="463" spans="1:4" x14ac:dyDescent="0.55000000000000004">
      <c r="A463" t="s">
        <v>1672</v>
      </c>
      <c r="B463" t="s">
        <v>1673</v>
      </c>
      <c r="C463" t="str">
        <f>"52.60"</f>
        <v>52.60</v>
      </c>
      <c r="D463" t="s">
        <v>1912</v>
      </c>
    </row>
    <row r="464" spans="1:4" x14ac:dyDescent="0.55000000000000004">
      <c r="A464" t="s">
        <v>1672</v>
      </c>
      <c r="B464" t="s">
        <v>1673</v>
      </c>
      <c r="C464" t="str">
        <f>"52.7"</f>
        <v>52.7</v>
      </c>
      <c r="D464" t="s">
        <v>1913</v>
      </c>
    </row>
    <row r="465" spans="1:4" x14ac:dyDescent="0.55000000000000004">
      <c r="A465" t="s">
        <v>1672</v>
      </c>
      <c r="B465" t="s">
        <v>1673</v>
      </c>
      <c r="C465" t="str">
        <f>"52.70"</f>
        <v>52.70</v>
      </c>
      <c r="D465" t="s">
        <v>1914</v>
      </c>
    </row>
    <row r="466" spans="1:4" x14ac:dyDescent="0.55000000000000004">
      <c r="A466" t="s">
        <v>1672</v>
      </c>
      <c r="B466" t="s">
        <v>1673</v>
      </c>
      <c r="C466" t="str">
        <f>"52.80"</f>
        <v>52.80</v>
      </c>
      <c r="D466" t="s">
        <v>1915</v>
      </c>
    </row>
    <row r="467" spans="1:4" x14ac:dyDescent="0.55000000000000004">
      <c r="A467" t="s">
        <v>1672</v>
      </c>
      <c r="B467" t="s">
        <v>1673</v>
      </c>
      <c r="C467" t="str">
        <f>"52.81"</f>
        <v>52.81</v>
      </c>
      <c r="D467" t="s">
        <v>1916</v>
      </c>
    </row>
    <row r="468" spans="1:4" x14ac:dyDescent="0.55000000000000004">
      <c r="A468" t="s">
        <v>1672</v>
      </c>
      <c r="B468" t="s">
        <v>1673</v>
      </c>
      <c r="C468" t="str">
        <f>"52.82"</f>
        <v>52.82</v>
      </c>
      <c r="D468" t="s">
        <v>1917</v>
      </c>
    </row>
    <row r="469" spans="1:4" x14ac:dyDescent="0.55000000000000004">
      <c r="A469" t="s">
        <v>1672</v>
      </c>
      <c r="B469" t="s">
        <v>1673</v>
      </c>
      <c r="C469" t="str">
        <f>"52.83"</f>
        <v>52.83</v>
      </c>
      <c r="D469" t="s">
        <v>1918</v>
      </c>
    </row>
    <row r="470" spans="1:4" x14ac:dyDescent="0.55000000000000004">
      <c r="A470" t="s">
        <v>1672</v>
      </c>
      <c r="B470" t="s">
        <v>1673</v>
      </c>
      <c r="C470" t="str">
        <f>"52.84"</f>
        <v>52.84</v>
      </c>
      <c r="D470" t="s">
        <v>1919</v>
      </c>
    </row>
    <row r="471" spans="1:4" x14ac:dyDescent="0.55000000000000004">
      <c r="A471" t="s">
        <v>1672</v>
      </c>
      <c r="B471" t="s">
        <v>1673</v>
      </c>
      <c r="C471" t="str">
        <f>"52.85"</f>
        <v>52.85</v>
      </c>
      <c r="D471" t="s">
        <v>1920</v>
      </c>
    </row>
    <row r="472" spans="1:4" x14ac:dyDescent="0.55000000000000004">
      <c r="A472" t="s">
        <v>1672</v>
      </c>
      <c r="B472" t="s">
        <v>1673</v>
      </c>
      <c r="C472" t="str">
        <f>"52.86"</f>
        <v>52.86</v>
      </c>
      <c r="D472" t="s">
        <v>1921</v>
      </c>
    </row>
    <row r="473" spans="1:4" x14ac:dyDescent="0.55000000000000004">
      <c r="A473" t="s">
        <v>1672</v>
      </c>
      <c r="B473" t="s">
        <v>1673</v>
      </c>
      <c r="C473" t="str">
        <f>"52.92"</f>
        <v>52.92</v>
      </c>
      <c r="D473" t="s">
        <v>1922</v>
      </c>
    </row>
    <row r="474" spans="1:4" x14ac:dyDescent="0.55000000000000004">
      <c r="A474" t="s">
        <v>1672</v>
      </c>
      <c r="B474" t="s">
        <v>1673</v>
      </c>
      <c r="C474" t="str">
        <f>"52.95"</f>
        <v>52.95</v>
      </c>
      <c r="D474" t="s">
        <v>1923</v>
      </c>
    </row>
    <row r="475" spans="1:4" x14ac:dyDescent="0.55000000000000004">
      <c r="A475" t="s">
        <v>1672</v>
      </c>
      <c r="B475" t="s">
        <v>1673</v>
      </c>
      <c r="C475" t="str">
        <f>"52.96"</f>
        <v>52.96</v>
      </c>
      <c r="D475" t="s">
        <v>1924</v>
      </c>
    </row>
    <row r="476" spans="1:4" x14ac:dyDescent="0.55000000000000004">
      <c r="A476" t="s">
        <v>1672</v>
      </c>
      <c r="B476" t="s">
        <v>1673</v>
      </c>
      <c r="C476" t="str">
        <f>"52.99"</f>
        <v>52.99</v>
      </c>
      <c r="D476" t="s">
        <v>1925</v>
      </c>
    </row>
    <row r="477" spans="1:4" x14ac:dyDescent="0.55000000000000004">
      <c r="A477" t="s">
        <v>1672</v>
      </c>
      <c r="B477" t="s">
        <v>1673</v>
      </c>
      <c r="C477" t="str">
        <f>"54.0"</f>
        <v>54.0</v>
      </c>
      <c r="D477" t="s">
        <v>1926</v>
      </c>
    </row>
    <row r="478" spans="1:4" x14ac:dyDescent="0.55000000000000004">
      <c r="A478" t="s">
        <v>1672</v>
      </c>
      <c r="B478" t="s">
        <v>1673</v>
      </c>
      <c r="C478" t="str">
        <f>"54.11"</f>
        <v>54.11</v>
      </c>
      <c r="D478" t="s">
        <v>1927</v>
      </c>
    </row>
    <row r="479" spans="1:4" x14ac:dyDescent="0.55000000000000004">
      <c r="A479" t="s">
        <v>1672</v>
      </c>
      <c r="B479" t="s">
        <v>1673</v>
      </c>
      <c r="C479" t="str">
        <f>"54.12"</f>
        <v>54.12</v>
      </c>
      <c r="D479" t="s">
        <v>1928</v>
      </c>
    </row>
    <row r="480" spans="1:4" x14ac:dyDescent="0.55000000000000004">
      <c r="A480" t="s">
        <v>1672</v>
      </c>
      <c r="B480" t="s">
        <v>1673</v>
      </c>
      <c r="C480" t="str">
        <f>"54.19"</f>
        <v>54.19</v>
      </c>
      <c r="D480" t="s">
        <v>1929</v>
      </c>
    </row>
    <row r="481" spans="1:4" x14ac:dyDescent="0.55000000000000004">
      <c r="A481" t="s">
        <v>1672</v>
      </c>
      <c r="B481" t="s">
        <v>1673</v>
      </c>
      <c r="C481" t="str">
        <f>"54.21"</f>
        <v>54.21</v>
      </c>
      <c r="D481" t="s">
        <v>1930</v>
      </c>
    </row>
    <row r="482" spans="1:4" x14ac:dyDescent="0.55000000000000004">
      <c r="A482" t="s">
        <v>1672</v>
      </c>
      <c r="B482" t="s">
        <v>1673</v>
      </c>
      <c r="C482" t="str">
        <f>"54.3"</f>
        <v>54.3</v>
      </c>
      <c r="D482" t="s">
        <v>1931</v>
      </c>
    </row>
    <row r="483" spans="1:4" x14ac:dyDescent="0.55000000000000004">
      <c r="A483" t="s">
        <v>1672</v>
      </c>
      <c r="B483" t="s">
        <v>1673</v>
      </c>
      <c r="C483" t="str">
        <f>"54.4"</f>
        <v>54.4</v>
      </c>
      <c r="D483" t="s">
        <v>1932</v>
      </c>
    </row>
    <row r="484" spans="1:4" x14ac:dyDescent="0.55000000000000004">
      <c r="A484" t="s">
        <v>1672</v>
      </c>
      <c r="B484" t="s">
        <v>1673</v>
      </c>
      <c r="C484" t="str">
        <f>"54.61"</f>
        <v>54.61</v>
      </c>
      <c r="D484" t="s">
        <v>1933</v>
      </c>
    </row>
    <row r="485" spans="1:4" x14ac:dyDescent="0.55000000000000004">
      <c r="A485" t="s">
        <v>1672</v>
      </c>
      <c r="B485" t="s">
        <v>1673</v>
      </c>
      <c r="C485" t="str">
        <f>"54.62"</f>
        <v>54.62</v>
      </c>
      <c r="D485" t="s">
        <v>1934</v>
      </c>
    </row>
    <row r="486" spans="1:4" x14ac:dyDescent="0.55000000000000004">
      <c r="A486" t="s">
        <v>1672</v>
      </c>
      <c r="B486" t="s">
        <v>1673</v>
      </c>
      <c r="C486" t="str">
        <f>"54.63"</f>
        <v>54.63</v>
      </c>
      <c r="D486" t="s">
        <v>1935</v>
      </c>
    </row>
    <row r="487" spans="1:4" x14ac:dyDescent="0.55000000000000004">
      <c r="A487" t="s">
        <v>1672</v>
      </c>
      <c r="B487" t="s">
        <v>1673</v>
      </c>
      <c r="C487" t="str">
        <f>"54.64"</f>
        <v>54.64</v>
      </c>
      <c r="D487" t="s">
        <v>1936</v>
      </c>
    </row>
    <row r="488" spans="1:4" x14ac:dyDescent="0.55000000000000004">
      <c r="A488" t="s">
        <v>1672</v>
      </c>
      <c r="B488" t="s">
        <v>1673</v>
      </c>
      <c r="C488" t="str">
        <f>"54.72"</f>
        <v>54.72</v>
      </c>
      <c r="D488" t="s">
        <v>1937</v>
      </c>
    </row>
    <row r="489" spans="1:4" x14ac:dyDescent="0.55000000000000004">
      <c r="A489" t="s">
        <v>1672</v>
      </c>
      <c r="B489" t="s">
        <v>1673</v>
      </c>
      <c r="C489" t="str">
        <f>"54.73"</f>
        <v>54.73</v>
      </c>
      <c r="D489" t="s">
        <v>1938</v>
      </c>
    </row>
    <row r="490" spans="1:4" x14ac:dyDescent="0.55000000000000004">
      <c r="A490" t="s">
        <v>1672</v>
      </c>
      <c r="B490" t="s">
        <v>1673</v>
      </c>
      <c r="C490" t="str">
        <f>"54.74"</f>
        <v>54.74</v>
      </c>
      <c r="D490" t="s">
        <v>1939</v>
      </c>
    </row>
    <row r="491" spans="1:4" x14ac:dyDescent="0.55000000000000004">
      <c r="A491" t="s">
        <v>1672</v>
      </c>
      <c r="B491" t="s">
        <v>1673</v>
      </c>
      <c r="C491" t="str">
        <f>"54.75"</f>
        <v>54.75</v>
      </c>
      <c r="D491" t="s">
        <v>1940</v>
      </c>
    </row>
    <row r="492" spans="1:4" x14ac:dyDescent="0.55000000000000004">
      <c r="A492" t="s">
        <v>1672</v>
      </c>
      <c r="B492" t="s">
        <v>1673</v>
      </c>
      <c r="C492" t="str">
        <f>"54.92"</f>
        <v>54.92</v>
      </c>
      <c r="D492" t="s">
        <v>1941</v>
      </c>
    </row>
    <row r="493" spans="1:4" x14ac:dyDescent="0.55000000000000004">
      <c r="A493" t="s">
        <v>1672</v>
      </c>
      <c r="B493" t="s">
        <v>1673</v>
      </c>
      <c r="C493" t="str">
        <f>"54.93"</f>
        <v>54.93</v>
      </c>
      <c r="D493" t="s">
        <v>1942</v>
      </c>
    </row>
    <row r="494" spans="1:4" x14ac:dyDescent="0.55000000000000004">
      <c r="A494" t="s">
        <v>1672</v>
      </c>
      <c r="B494" t="s">
        <v>1673</v>
      </c>
      <c r="C494" t="str">
        <f>"54.94"</f>
        <v>54.94</v>
      </c>
      <c r="D494" t="s">
        <v>1943</v>
      </c>
    </row>
    <row r="495" spans="1:4" x14ac:dyDescent="0.55000000000000004">
      <c r="A495" t="s">
        <v>1672</v>
      </c>
      <c r="B495" t="s">
        <v>1673</v>
      </c>
      <c r="C495" t="str">
        <f>"55.01"</f>
        <v>55.01</v>
      </c>
      <c r="D495" t="s">
        <v>1944</v>
      </c>
    </row>
    <row r="496" spans="1:4" x14ac:dyDescent="0.55000000000000004">
      <c r="A496" t="s">
        <v>1672</v>
      </c>
      <c r="B496" t="s">
        <v>1673</v>
      </c>
      <c r="C496" t="str">
        <f>"55.02"</f>
        <v>55.02</v>
      </c>
      <c r="D496" t="s">
        <v>1945</v>
      </c>
    </row>
    <row r="497" spans="1:4" x14ac:dyDescent="0.55000000000000004">
      <c r="A497" t="s">
        <v>1672</v>
      </c>
      <c r="B497" t="s">
        <v>1673</v>
      </c>
      <c r="C497" t="str">
        <f>"55.03"</f>
        <v>55.03</v>
      </c>
      <c r="D497" t="s">
        <v>1946</v>
      </c>
    </row>
    <row r="498" spans="1:4" x14ac:dyDescent="0.55000000000000004">
      <c r="A498" t="s">
        <v>1672</v>
      </c>
      <c r="B498" t="s">
        <v>1673</v>
      </c>
      <c r="C498" t="str">
        <f>"55.04"</f>
        <v>55.04</v>
      </c>
      <c r="D498" t="s">
        <v>1947</v>
      </c>
    </row>
    <row r="499" spans="1:4" x14ac:dyDescent="0.55000000000000004">
      <c r="A499" t="s">
        <v>1672</v>
      </c>
      <c r="B499" t="s">
        <v>1673</v>
      </c>
      <c r="C499" t="str">
        <f>"55.11"</f>
        <v>55.11</v>
      </c>
      <c r="D499" t="s">
        <v>1948</v>
      </c>
    </row>
    <row r="500" spans="1:4" x14ac:dyDescent="0.55000000000000004">
      <c r="A500" t="s">
        <v>1672</v>
      </c>
      <c r="B500" t="s">
        <v>1673</v>
      </c>
      <c r="C500" t="str">
        <f>"55.12"</f>
        <v>55.12</v>
      </c>
      <c r="D500" t="s">
        <v>1949</v>
      </c>
    </row>
    <row r="501" spans="1:4" x14ac:dyDescent="0.55000000000000004">
      <c r="A501" t="s">
        <v>1672</v>
      </c>
      <c r="B501" t="s">
        <v>1673</v>
      </c>
      <c r="C501" t="str">
        <f>"55.32"</f>
        <v>55.32</v>
      </c>
      <c r="D501" t="s">
        <v>1950</v>
      </c>
    </row>
    <row r="502" spans="1:4" x14ac:dyDescent="0.55000000000000004">
      <c r="A502" t="s">
        <v>1672</v>
      </c>
      <c r="B502" t="s">
        <v>1673</v>
      </c>
      <c r="C502" t="str">
        <f>"55.33"</f>
        <v>55.33</v>
      </c>
      <c r="D502" t="s">
        <v>1951</v>
      </c>
    </row>
    <row r="503" spans="1:4" x14ac:dyDescent="0.55000000000000004">
      <c r="A503" t="s">
        <v>1672</v>
      </c>
      <c r="B503" t="s">
        <v>1673</v>
      </c>
      <c r="C503" t="str">
        <f>"55.34"</f>
        <v>55.34</v>
      </c>
      <c r="D503" t="s">
        <v>1952</v>
      </c>
    </row>
    <row r="504" spans="1:4" x14ac:dyDescent="0.55000000000000004">
      <c r="A504" t="s">
        <v>1672</v>
      </c>
      <c r="B504" t="s">
        <v>1673</v>
      </c>
      <c r="C504" t="str">
        <f>"55.35"</f>
        <v>55.35</v>
      </c>
      <c r="D504" t="s">
        <v>1953</v>
      </c>
    </row>
    <row r="505" spans="1:4" x14ac:dyDescent="0.55000000000000004">
      <c r="A505" t="s">
        <v>1672</v>
      </c>
      <c r="B505" t="s">
        <v>1673</v>
      </c>
      <c r="C505" t="str">
        <f>"55.38"</f>
        <v>55.38</v>
      </c>
      <c r="D505" t="s">
        <v>1954</v>
      </c>
    </row>
    <row r="506" spans="1:4" x14ac:dyDescent="0.55000000000000004">
      <c r="A506" t="s">
        <v>1672</v>
      </c>
      <c r="B506" t="s">
        <v>1673</v>
      </c>
      <c r="C506" t="str">
        <f>"55.39"</f>
        <v>55.39</v>
      </c>
      <c r="D506" t="s">
        <v>1955</v>
      </c>
    </row>
    <row r="507" spans="1:4" x14ac:dyDescent="0.55000000000000004">
      <c r="A507" t="s">
        <v>1672</v>
      </c>
      <c r="B507" t="s">
        <v>1673</v>
      </c>
      <c r="C507" t="str">
        <f>"55.4"</f>
        <v>55.4</v>
      </c>
      <c r="D507" t="s">
        <v>1956</v>
      </c>
    </row>
    <row r="508" spans="1:4" x14ac:dyDescent="0.55000000000000004">
      <c r="A508" t="s">
        <v>1672</v>
      </c>
      <c r="B508" t="s">
        <v>1673</v>
      </c>
      <c r="C508" t="str">
        <f>"55.40"</f>
        <v>55.40</v>
      </c>
      <c r="D508" t="s">
        <v>1957</v>
      </c>
    </row>
    <row r="509" spans="1:4" x14ac:dyDescent="0.55000000000000004">
      <c r="A509" t="s">
        <v>1672</v>
      </c>
      <c r="B509" t="s">
        <v>1673</v>
      </c>
      <c r="C509" t="str">
        <f>"55.51"</f>
        <v>55.51</v>
      </c>
      <c r="D509" t="s">
        <v>1958</v>
      </c>
    </row>
    <row r="510" spans="1:4" x14ac:dyDescent="0.55000000000000004">
      <c r="A510" t="s">
        <v>1672</v>
      </c>
      <c r="B510" t="s">
        <v>1673</v>
      </c>
      <c r="C510" t="str">
        <f>"55.510"</f>
        <v>55.510</v>
      </c>
      <c r="D510" t="s">
        <v>1959</v>
      </c>
    </row>
    <row r="511" spans="1:4" x14ac:dyDescent="0.55000000000000004">
      <c r="A511" t="s">
        <v>1672</v>
      </c>
      <c r="B511" t="s">
        <v>1673</v>
      </c>
      <c r="C511" t="str">
        <f>"55.511"</f>
        <v>55.511</v>
      </c>
      <c r="D511" t="s">
        <v>1960</v>
      </c>
    </row>
    <row r="512" spans="1:4" x14ac:dyDescent="0.55000000000000004">
      <c r="A512" t="s">
        <v>1672</v>
      </c>
      <c r="B512" t="s">
        <v>1673</v>
      </c>
      <c r="C512" t="str">
        <f>"55.52"</f>
        <v>55.52</v>
      </c>
      <c r="D512" t="s">
        <v>1961</v>
      </c>
    </row>
    <row r="513" spans="1:4" x14ac:dyDescent="0.55000000000000004">
      <c r="A513" t="s">
        <v>1672</v>
      </c>
      <c r="B513" t="s">
        <v>1673</v>
      </c>
      <c r="C513" t="str">
        <f>"55.520"</f>
        <v>55.520</v>
      </c>
      <c r="D513" t="s">
        <v>1962</v>
      </c>
    </row>
    <row r="514" spans="1:4" x14ac:dyDescent="0.55000000000000004">
      <c r="A514" t="s">
        <v>1672</v>
      </c>
      <c r="B514" t="s">
        <v>1673</v>
      </c>
      <c r="C514" t="str">
        <f>"55.521"</f>
        <v>55.521</v>
      </c>
      <c r="D514" t="s">
        <v>1963</v>
      </c>
    </row>
    <row r="515" spans="1:4" x14ac:dyDescent="0.55000000000000004">
      <c r="A515" t="s">
        <v>1672</v>
      </c>
      <c r="B515" t="s">
        <v>1673</v>
      </c>
      <c r="C515" t="str">
        <f>"55.54"</f>
        <v>55.54</v>
      </c>
      <c r="D515" t="s">
        <v>1964</v>
      </c>
    </row>
    <row r="516" spans="1:4" x14ac:dyDescent="0.55000000000000004">
      <c r="A516" t="s">
        <v>1672</v>
      </c>
      <c r="B516" t="s">
        <v>1673</v>
      </c>
      <c r="C516" t="str">
        <f>"55.61"</f>
        <v>55.61</v>
      </c>
      <c r="D516" t="s">
        <v>1965</v>
      </c>
    </row>
    <row r="517" spans="1:4" x14ac:dyDescent="0.55000000000000004">
      <c r="A517" t="s">
        <v>1672</v>
      </c>
      <c r="B517" t="s">
        <v>1673</v>
      </c>
      <c r="C517" t="str">
        <f>"55.69"</f>
        <v>55.69</v>
      </c>
      <c r="D517" t="s">
        <v>1966</v>
      </c>
    </row>
    <row r="518" spans="1:4" x14ac:dyDescent="0.55000000000000004">
      <c r="A518" t="s">
        <v>1672</v>
      </c>
      <c r="B518" t="s">
        <v>1673</v>
      </c>
      <c r="C518" t="str">
        <f>"55.7"</f>
        <v>55.7</v>
      </c>
      <c r="D518" t="s">
        <v>1967</v>
      </c>
    </row>
    <row r="519" spans="1:4" x14ac:dyDescent="0.55000000000000004">
      <c r="A519" t="s">
        <v>1672</v>
      </c>
      <c r="B519" t="s">
        <v>1673</v>
      </c>
      <c r="C519" t="str">
        <f>"55.70"</f>
        <v>55.70</v>
      </c>
      <c r="D519" t="s">
        <v>1968</v>
      </c>
    </row>
    <row r="520" spans="1:4" x14ac:dyDescent="0.55000000000000004">
      <c r="A520" t="s">
        <v>1672</v>
      </c>
      <c r="B520" t="s">
        <v>1673</v>
      </c>
      <c r="C520" t="str">
        <f>"55.81"</f>
        <v>55.81</v>
      </c>
      <c r="D520" t="s">
        <v>1969</v>
      </c>
    </row>
    <row r="521" spans="1:4" x14ac:dyDescent="0.55000000000000004">
      <c r="A521" t="s">
        <v>1672</v>
      </c>
      <c r="B521" t="s">
        <v>1673</v>
      </c>
      <c r="C521" t="str">
        <f>"55.82"</f>
        <v>55.82</v>
      </c>
      <c r="D521" t="s">
        <v>1970</v>
      </c>
    </row>
    <row r="522" spans="1:4" x14ac:dyDescent="0.55000000000000004">
      <c r="A522" t="s">
        <v>1672</v>
      </c>
      <c r="B522" t="s">
        <v>1673</v>
      </c>
      <c r="C522" t="str">
        <f>"55.83"</f>
        <v>55.83</v>
      </c>
      <c r="D522" t="s">
        <v>1971</v>
      </c>
    </row>
    <row r="523" spans="1:4" x14ac:dyDescent="0.55000000000000004">
      <c r="A523" t="s">
        <v>1672</v>
      </c>
      <c r="B523" t="s">
        <v>1673</v>
      </c>
      <c r="C523" t="str">
        <f>"55.84"</f>
        <v>55.84</v>
      </c>
      <c r="D523" t="s">
        <v>1972</v>
      </c>
    </row>
    <row r="524" spans="1:4" x14ac:dyDescent="0.55000000000000004">
      <c r="A524" t="s">
        <v>1672</v>
      </c>
      <c r="B524" t="s">
        <v>1673</v>
      </c>
      <c r="C524" t="str">
        <f>"55.86"</f>
        <v>55.86</v>
      </c>
      <c r="D524" t="s">
        <v>1973</v>
      </c>
    </row>
    <row r="525" spans="1:4" x14ac:dyDescent="0.55000000000000004">
      <c r="A525" t="s">
        <v>1672</v>
      </c>
      <c r="B525" t="s">
        <v>1673</v>
      </c>
      <c r="C525" t="str">
        <f>"55.87"</f>
        <v>55.87</v>
      </c>
      <c r="D525" t="s">
        <v>1974</v>
      </c>
    </row>
    <row r="526" spans="1:4" x14ac:dyDescent="0.55000000000000004">
      <c r="A526" t="s">
        <v>1672</v>
      </c>
      <c r="B526" t="s">
        <v>1673</v>
      </c>
      <c r="C526" t="str">
        <f>"55.88"</f>
        <v>55.88</v>
      </c>
      <c r="D526" t="s">
        <v>1975</v>
      </c>
    </row>
    <row r="527" spans="1:4" x14ac:dyDescent="0.55000000000000004">
      <c r="A527" t="s">
        <v>1672</v>
      </c>
      <c r="B527" t="s">
        <v>1673</v>
      </c>
      <c r="C527" t="str">
        <f>"55.89"</f>
        <v>55.89</v>
      </c>
      <c r="D527" t="s">
        <v>1976</v>
      </c>
    </row>
    <row r="528" spans="1:4" x14ac:dyDescent="0.55000000000000004">
      <c r="A528" t="s">
        <v>1672</v>
      </c>
      <c r="B528" t="s">
        <v>1673</v>
      </c>
      <c r="C528" t="str">
        <f>"55.91"</f>
        <v>55.91</v>
      </c>
      <c r="D528" t="s">
        <v>1977</v>
      </c>
    </row>
    <row r="529" spans="1:4" x14ac:dyDescent="0.55000000000000004">
      <c r="A529" t="s">
        <v>1672</v>
      </c>
      <c r="B529" t="s">
        <v>1673</v>
      </c>
      <c r="C529" t="str">
        <f>"55.97"</f>
        <v>55.97</v>
      </c>
      <c r="D529" t="s">
        <v>1978</v>
      </c>
    </row>
    <row r="530" spans="1:4" x14ac:dyDescent="0.55000000000000004">
      <c r="A530" t="s">
        <v>1672</v>
      </c>
      <c r="B530" t="s">
        <v>1673</v>
      </c>
      <c r="C530" t="str">
        <f>"55.98"</f>
        <v>55.98</v>
      </c>
      <c r="D530" t="s">
        <v>1979</v>
      </c>
    </row>
    <row r="531" spans="1:4" x14ac:dyDescent="0.55000000000000004">
      <c r="A531" t="s">
        <v>1672</v>
      </c>
      <c r="B531" t="s">
        <v>1673</v>
      </c>
      <c r="C531" t="str">
        <f>"55.99"</f>
        <v>55.99</v>
      </c>
      <c r="D531" t="s">
        <v>1980</v>
      </c>
    </row>
    <row r="532" spans="1:4" x14ac:dyDescent="0.55000000000000004">
      <c r="A532" t="s">
        <v>1672</v>
      </c>
      <c r="B532" t="s">
        <v>1673</v>
      </c>
      <c r="C532" t="str">
        <f>"56.0"</f>
        <v>56.0</v>
      </c>
      <c r="D532" t="s">
        <v>1981</v>
      </c>
    </row>
    <row r="533" spans="1:4" x14ac:dyDescent="0.55000000000000004">
      <c r="A533" t="s">
        <v>1672</v>
      </c>
      <c r="B533" t="s">
        <v>1673</v>
      </c>
      <c r="C533" t="str">
        <f>"56.1"</f>
        <v>56.1</v>
      </c>
      <c r="D533" t="s">
        <v>1982</v>
      </c>
    </row>
    <row r="534" spans="1:4" x14ac:dyDescent="0.55000000000000004">
      <c r="A534" t="s">
        <v>1672</v>
      </c>
      <c r="B534" t="s">
        <v>1673</v>
      </c>
      <c r="C534" t="str">
        <f>"56.2"</f>
        <v>56.2</v>
      </c>
      <c r="D534" t="s">
        <v>1983</v>
      </c>
    </row>
    <row r="535" spans="1:4" x14ac:dyDescent="0.55000000000000004">
      <c r="A535" t="s">
        <v>1672</v>
      </c>
      <c r="B535" t="s">
        <v>1673</v>
      </c>
      <c r="C535" t="str">
        <f>"56.20"</f>
        <v>56.20</v>
      </c>
      <c r="D535" t="s">
        <v>1984</v>
      </c>
    </row>
    <row r="536" spans="1:4" x14ac:dyDescent="0.55000000000000004">
      <c r="A536" t="s">
        <v>1672</v>
      </c>
      <c r="B536" t="s">
        <v>1673</v>
      </c>
      <c r="C536" t="str">
        <f>"56.21"</f>
        <v>56.21</v>
      </c>
      <c r="D536" t="s">
        <v>1985</v>
      </c>
    </row>
    <row r="537" spans="1:4" x14ac:dyDescent="0.55000000000000004">
      <c r="A537" t="s">
        <v>1672</v>
      </c>
      <c r="B537" t="s">
        <v>1673</v>
      </c>
      <c r="C537" t="str">
        <f>"56.22"</f>
        <v>56.22</v>
      </c>
      <c r="D537" t="s">
        <v>1986</v>
      </c>
    </row>
    <row r="538" spans="1:4" x14ac:dyDescent="0.55000000000000004">
      <c r="A538" t="s">
        <v>1672</v>
      </c>
      <c r="B538" t="s">
        <v>1673</v>
      </c>
      <c r="C538" t="str">
        <f>"56.23"</f>
        <v>56.23</v>
      </c>
      <c r="D538" t="s">
        <v>1987</v>
      </c>
    </row>
    <row r="539" spans="1:4" x14ac:dyDescent="0.55000000000000004">
      <c r="A539" t="s">
        <v>1672</v>
      </c>
      <c r="B539" t="s">
        <v>1673</v>
      </c>
      <c r="C539" t="str">
        <f>"56.40"</f>
        <v>56.40</v>
      </c>
      <c r="D539" t="s">
        <v>1988</v>
      </c>
    </row>
    <row r="540" spans="1:4" x14ac:dyDescent="0.55000000000000004">
      <c r="A540" t="s">
        <v>1672</v>
      </c>
      <c r="B540" t="s">
        <v>1673</v>
      </c>
      <c r="C540" t="str">
        <f>"56.41"</f>
        <v>56.41</v>
      </c>
      <c r="D540" t="s">
        <v>1989</v>
      </c>
    </row>
    <row r="541" spans="1:4" x14ac:dyDescent="0.55000000000000004">
      <c r="A541" t="s">
        <v>1672</v>
      </c>
      <c r="B541" t="s">
        <v>1673</v>
      </c>
      <c r="C541" t="str">
        <f>"56.410"</f>
        <v>56.410</v>
      </c>
      <c r="D541" t="s">
        <v>1990</v>
      </c>
    </row>
    <row r="542" spans="1:4" x14ac:dyDescent="0.55000000000000004">
      <c r="A542" t="s">
        <v>1672</v>
      </c>
      <c r="B542" t="s">
        <v>1673</v>
      </c>
      <c r="C542" t="str">
        <f>"56.42"</f>
        <v>56.42</v>
      </c>
      <c r="D542" t="s">
        <v>1991</v>
      </c>
    </row>
    <row r="543" spans="1:4" x14ac:dyDescent="0.55000000000000004">
      <c r="A543" t="s">
        <v>1672</v>
      </c>
      <c r="B543" t="s">
        <v>1673</v>
      </c>
      <c r="C543" t="str">
        <f>"56.420"</f>
        <v>56.420</v>
      </c>
      <c r="D543" t="s">
        <v>1992</v>
      </c>
    </row>
    <row r="544" spans="1:4" x14ac:dyDescent="0.55000000000000004">
      <c r="A544" t="s">
        <v>1672</v>
      </c>
      <c r="B544" t="s">
        <v>1673</v>
      </c>
      <c r="C544" t="str">
        <f>"56.43"</f>
        <v>56.43</v>
      </c>
      <c r="D544" t="s">
        <v>1993</v>
      </c>
    </row>
    <row r="545" spans="1:4" x14ac:dyDescent="0.55000000000000004">
      <c r="A545" t="s">
        <v>1672</v>
      </c>
      <c r="B545" t="s">
        <v>1673</v>
      </c>
      <c r="C545" t="str">
        <f>"56.51"</f>
        <v>56.51</v>
      </c>
      <c r="D545" t="s">
        <v>1994</v>
      </c>
    </row>
    <row r="546" spans="1:4" x14ac:dyDescent="0.55000000000000004">
      <c r="A546" t="s">
        <v>1672</v>
      </c>
      <c r="B546" t="s">
        <v>1673</v>
      </c>
      <c r="C546" t="str">
        <f>"56.510"</f>
        <v>56.510</v>
      </c>
      <c r="D546" t="s">
        <v>1995</v>
      </c>
    </row>
    <row r="547" spans="1:4" x14ac:dyDescent="0.55000000000000004">
      <c r="A547" t="s">
        <v>1672</v>
      </c>
      <c r="B547" t="s">
        <v>1673</v>
      </c>
      <c r="C547" t="str">
        <f>"56.52"</f>
        <v>56.52</v>
      </c>
      <c r="D547" t="s">
        <v>1996</v>
      </c>
    </row>
    <row r="548" spans="1:4" x14ac:dyDescent="0.55000000000000004">
      <c r="A548" t="s">
        <v>1672</v>
      </c>
      <c r="B548" t="s">
        <v>1673</v>
      </c>
      <c r="C548" t="str">
        <f>"56.61"</f>
        <v>56.61</v>
      </c>
      <c r="D548" t="s">
        <v>1997</v>
      </c>
    </row>
    <row r="549" spans="1:4" x14ac:dyDescent="0.55000000000000004">
      <c r="A549" t="s">
        <v>1672</v>
      </c>
      <c r="B549" t="s">
        <v>1673</v>
      </c>
      <c r="C549" t="str">
        <f>"56.610"</f>
        <v>56.610</v>
      </c>
      <c r="D549" t="s">
        <v>1998</v>
      </c>
    </row>
    <row r="550" spans="1:4" x14ac:dyDescent="0.55000000000000004">
      <c r="A550" t="s">
        <v>1672</v>
      </c>
      <c r="B550" t="s">
        <v>1673</v>
      </c>
      <c r="C550" t="str">
        <f>"56.62"</f>
        <v>56.62</v>
      </c>
      <c r="D550" t="s">
        <v>1999</v>
      </c>
    </row>
    <row r="551" spans="1:4" x14ac:dyDescent="0.55000000000000004">
      <c r="A551" t="s">
        <v>1672</v>
      </c>
      <c r="B551" t="s">
        <v>1673</v>
      </c>
      <c r="C551" t="str">
        <f>"56.620"</f>
        <v>56.620</v>
      </c>
      <c r="D551" t="s">
        <v>2000</v>
      </c>
    </row>
    <row r="552" spans="1:4" x14ac:dyDescent="0.55000000000000004">
      <c r="A552" t="s">
        <v>1672</v>
      </c>
      <c r="B552" t="s">
        <v>1673</v>
      </c>
      <c r="C552" t="str">
        <f>"56.71"</f>
        <v>56.71</v>
      </c>
      <c r="D552" t="s">
        <v>2001</v>
      </c>
    </row>
    <row r="553" spans="1:4" x14ac:dyDescent="0.55000000000000004">
      <c r="A553" t="s">
        <v>1672</v>
      </c>
      <c r="B553" t="s">
        <v>1673</v>
      </c>
      <c r="C553" t="str">
        <f>"56.72"</f>
        <v>56.72</v>
      </c>
      <c r="D553" t="s">
        <v>2002</v>
      </c>
    </row>
    <row r="554" spans="1:4" x14ac:dyDescent="0.55000000000000004">
      <c r="A554" t="s">
        <v>1672</v>
      </c>
      <c r="B554" t="s">
        <v>1673</v>
      </c>
      <c r="C554" t="str">
        <f>"56.73"</f>
        <v>56.73</v>
      </c>
      <c r="D554" t="s">
        <v>2003</v>
      </c>
    </row>
    <row r="555" spans="1:4" x14ac:dyDescent="0.55000000000000004">
      <c r="A555" t="s">
        <v>1672</v>
      </c>
      <c r="B555" t="s">
        <v>1673</v>
      </c>
      <c r="C555" t="str">
        <f>"56.74"</f>
        <v>56.74</v>
      </c>
      <c r="D555" t="s">
        <v>2004</v>
      </c>
    </row>
    <row r="556" spans="1:4" x14ac:dyDescent="0.55000000000000004">
      <c r="A556" t="s">
        <v>1672</v>
      </c>
      <c r="B556" t="s">
        <v>1673</v>
      </c>
      <c r="C556" t="str">
        <f>"56.740"</f>
        <v>56.740</v>
      </c>
      <c r="D556" t="s">
        <v>2005</v>
      </c>
    </row>
    <row r="557" spans="1:4" x14ac:dyDescent="0.55000000000000004">
      <c r="A557" t="s">
        <v>1672</v>
      </c>
      <c r="B557" t="s">
        <v>1673</v>
      </c>
      <c r="C557" t="str">
        <f>"56.75"</f>
        <v>56.75</v>
      </c>
      <c r="D557" t="s">
        <v>2006</v>
      </c>
    </row>
    <row r="558" spans="1:4" x14ac:dyDescent="0.55000000000000004">
      <c r="A558" t="s">
        <v>1672</v>
      </c>
      <c r="B558" t="s">
        <v>1673</v>
      </c>
      <c r="C558" t="str">
        <f>"56.750"</f>
        <v>56.750</v>
      </c>
      <c r="D558" t="s">
        <v>2007</v>
      </c>
    </row>
    <row r="559" spans="1:4" x14ac:dyDescent="0.55000000000000004">
      <c r="A559" t="s">
        <v>1672</v>
      </c>
      <c r="B559" t="s">
        <v>1673</v>
      </c>
      <c r="C559" t="str">
        <f>"56.751"</f>
        <v>56.751</v>
      </c>
      <c r="D559" t="s">
        <v>2008</v>
      </c>
    </row>
    <row r="560" spans="1:4" x14ac:dyDescent="0.55000000000000004">
      <c r="A560" t="s">
        <v>1672</v>
      </c>
      <c r="B560" t="s">
        <v>1673</v>
      </c>
      <c r="C560" t="str">
        <f>"56.752"</f>
        <v>56.752</v>
      </c>
      <c r="D560" t="s">
        <v>2009</v>
      </c>
    </row>
    <row r="561" spans="1:4" x14ac:dyDescent="0.55000000000000004">
      <c r="A561" t="s">
        <v>1672</v>
      </c>
      <c r="B561" t="s">
        <v>1673</v>
      </c>
      <c r="C561" t="str">
        <f>"56.753"</f>
        <v>56.753</v>
      </c>
      <c r="D561" t="s">
        <v>2010</v>
      </c>
    </row>
    <row r="562" spans="1:4" x14ac:dyDescent="0.55000000000000004">
      <c r="A562" t="s">
        <v>1672</v>
      </c>
      <c r="B562" t="s">
        <v>1673</v>
      </c>
      <c r="C562" t="str">
        <f>"56.79"</f>
        <v>56.79</v>
      </c>
      <c r="D562" t="s">
        <v>2011</v>
      </c>
    </row>
    <row r="563" spans="1:4" x14ac:dyDescent="0.55000000000000004">
      <c r="A563" t="s">
        <v>1672</v>
      </c>
      <c r="B563" t="s">
        <v>1673</v>
      </c>
      <c r="C563" t="str">
        <f>"56.81"</f>
        <v>56.81</v>
      </c>
      <c r="D563" t="s">
        <v>2012</v>
      </c>
    </row>
    <row r="564" spans="1:4" x14ac:dyDescent="0.55000000000000004">
      <c r="A564" t="s">
        <v>1672</v>
      </c>
      <c r="B564" t="s">
        <v>1673</v>
      </c>
      <c r="C564" t="str">
        <f>"56.82"</f>
        <v>56.82</v>
      </c>
      <c r="D564" t="s">
        <v>2013</v>
      </c>
    </row>
    <row r="565" spans="1:4" x14ac:dyDescent="0.55000000000000004">
      <c r="A565" t="s">
        <v>1672</v>
      </c>
      <c r="B565" t="s">
        <v>1673</v>
      </c>
      <c r="C565" t="str">
        <f>"56.83"</f>
        <v>56.83</v>
      </c>
      <c r="D565" t="s">
        <v>2014</v>
      </c>
    </row>
    <row r="566" spans="1:4" x14ac:dyDescent="0.55000000000000004">
      <c r="A566" t="s">
        <v>1672</v>
      </c>
      <c r="B566" t="s">
        <v>1673</v>
      </c>
      <c r="C566" t="str">
        <f>"56.84"</f>
        <v>56.84</v>
      </c>
      <c r="D566" t="s">
        <v>2015</v>
      </c>
    </row>
    <row r="567" spans="1:4" x14ac:dyDescent="0.55000000000000004">
      <c r="A567" t="s">
        <v>1672</v>
      </c>
      <c r="B567" t="s">
        <v>1673</v>
      </c>
      <c r="C567" t="str">
        <f>"56.85"</f>
        <v>56.85</v>
      </c>
      <c r="D567" t="s">
        <v>2016</v>
      </c>
    </row>
    <row r="568" spans="1:4" x14ac:dyDescent="0.55000000000000004">
      <c r="A568" t="s">
        <v>1672</v>
      </c>
      <c r="B568" t="s">
        <v>1673</v>
      </c>
      <c r="C568" t="str">
        <f>"56.86"</f>
        <v>56.86</v>
      </c>
      <c r="D568" t="s">
        <v>2017</v>
      </c>
    </row>
    <row r="569" spans="1:4" x14ac:dyDescent="0.55000000000000004">
      <c r="A569" t="s">
        <v>1672</v>
      </c>
      <c r="B569" t="s">
        <v>1673</v>
      </c>
      <c r="C569" t="str">
        <f>"56.87"</f>
        <v>56.87</v>
      </c>
      <c r="D569" t="s">
        <v>2018</v>
      </c>
    </row>
    <row r="570" spans="1:4" x14ac:dyDescent="0.55000000000000004">
      <c r="A570" t="s">
        <v>1672</v>
      </c>
      <c r="B570" t="s">
        <v>1673</v>
      </c>
      <c r="C570" t="str">
        <f>"56.870"</f>
        <v>56.870</v>
      </c>
      <c r="D570" t="s">
        <v>2019</v>
      </c>
    </row>
    <row r="571" spans="1:4" x14ac:dyDescent="0.55000000000000004">
      <c r="A571" t="s">
        <v>1672</v>
      </c>
      <c r="B571" t="s">
        <v>1673</v>
      </c>
      <c r="C571" t="str">
        <f>"56.89"</f>
        <v>56.89</v>
      </c>
      <c r="D571" t="s">
        <v>2020</v>
      </c>
    </row>
    <row r="572" spans="1:4" x14ac:dyDescent="0.55000000000000004">
      <c r="A572" t="s">
        <v>1672</v>
      </c>
      <c r="B572" t="s">
        <v>1673</v>
      </c>
      <c r="C572" t="str">
        <f>"56.91"</f>
        <v>56.91</v>
      </c>
      <c r="D572" t="s">
        <v>2021</v>
      </c>
    </row>
    <row r="573" spans="1:4" x14ac:dyDescent="0.55000000000000004">
      <c r="A573" t="s">
        <v>1672</v>
      </c>
      <c r="B573" t="s">
        <v>1673</v>
      </c>
      <c r="C573" t="str">
        <f>"56.910"</f>
        <v>56.910</v>
      </c>
      <c r="D573" t="s">
        <v>2022</v>
      </c>
    </row>
    <row r="574" spans="1:4" x14ac:dyDescent="0.55000000000000004">
      <c r="A574" t="s">
        <v>1672</v>
      </c>
      <c r="B574" t="s">
        <v>1673</v>
      </c>
      <c r="C574" t="str">
        <f>"56.911"</f>
        <v>56.911</v>
      </c>
      <c r="D574" t="s">
        <v>2023</v>
      </c>
    </row>
    <row r="575" spans="1:4" x14ac:dyDescent="0.55000000000000004">
      <c r="A575" t="s">
        <v>1672</v>
      </c>
      <c r="B575" t="s">
        <v>1673</v>
      </c>
      <c r="C575" t="str">
        <f>"56.912"</f>
        <v>56.912</v>
      </c>
      <c r="D575" t="s">
        <v>2024</v>
      </c>
    </row>
    <row r="576" spans="1:4" x14ac:dyDescent="0.55000000000000004">
      <c r="A576" t="s">
        <v>1672</v>
      </c>
      <c r="B576" t="s">
        <v>1673</v>
      </c>
      <c r="C576" t="str">
        <f>"56.92"</f>
        <v>56.92</v>
      </c>
      <c r="D576" t="s">
        <v>2025</v>
      </c>
    </row>
    <row r="577" spans="1:4" x14ac:dyDescent="0.55000000000000004">
      <c r="A577" t="s">
        <v>1672</v>
      </c>
      <c r="B577" t="s">
        <v>1673</v>
      </c>
      <c r="C577" t="str">
        <f>"56.93"</f>
        <v>56.93</v>
      </c>
      <c r="D577" t="s">
        <v>2026</v>
      </c>
    </row>
    <row r="578" spans="1:4" x14ac:dyDescent="0.55000000000000004">
      <c r="A578" t="s">
        <v>1672</v>
      </c>
      <c r="B578" t="s">
        <v>1673</v>
      </c>
      <c r="C578" t="str">
        <f>"56.94"</f>
        <v>56.94</v>
      </c>
      <c r="D578" t="s">
        <v>2027</v>
      </c>
    </row>
    <row r="579" spans="1:4" x14ac:dyDescent="0.55000000000000004">
      <c r="A579" t="s">
        <v>1672</v>
      </c>
      <c r="B579" t="s">
        <v>1673</v>
      </c>
      <c r="C579" t="str">
        <f>"56.95"</f>
        <v>56.95</v>
      </c>
      <c r="D579" t="s">
        <v>2028</v>
      </c>
    </row>
    <row r="580" spans="1:4" x14ac:dyDescent="0.55000000000000004">
      <c r="A580" t="s">
        <v>1672</v>
      </c>
      <c r="B580" t="s">
        <v>1673</v>
      </c>
      <c r="C580" t="str">
        <f>"56.950"</f>
        <v>56.950</v>
      </c>
      <c r="D580" t="s">
        <v>2029</v>
      </c>
    </row>
    <row r="581" spans="1:4" x14ac:dyDescent="0.55000000000000004">
      <c r="A581" t="s">
        <v>1672</v>
      </c>
      <c r="B581" t="s">
        <v>1673</v>
      </c>
      <c r="C581" t="str">
        <f>"56.96"</f>
        <v>56.96</v>
      </c>
      <c r="D581" t="s">
        <v>2030</v>
      </c>
    </row>
    <row r="582" spans="1:4" x14ac:dyDescent="0.55000000000000004">
      <c r="A582" t="s">
        <v>1672</v>
      </c>
      <c r="B582" t="s">
        <v>1673</v>
      </c>
      <c r="C582" t="str">
        <f>"56.97"</f>
        <v>56.97</v>
      </c>
      <c r="D582" t="s">
        <v>2031</v>
      </c>
    </row>
    <row r="583" spans="1:4" x14ac:dyDescent="0.55000000000000004">
      <c r="A583" t="s">
        <v>1672</v>
      </c>
      <c r="B583" t="s">
        <v>1673</v>
      </c>
      <c r="C583" t="str">
        <f>"56.99"</f>
        <v>56.99</v>
      </c>
      <c r="D583" t="s">
        <v>2032</v>
      </c>
    </row>
    <row r="584" spans="1:4" x14ac:dyDescent="0.55000000000000004">
      <c r="A584" t="s">
        <v>1672</v>
      </c>
      <c r="B584" t="s">
        <v>1673</v>
      </c>
      <c r="C584" t="str">
        <f>"57.0"</f>
        <v>57.0</v>
      </c>
      <c r="D584" t="s">
        <v>2033</v>
      </c>
    </row>
    <row r="585" spans="1:4" x14ac:dyDescent="0.55000000000000004">
      <c r="A585" t="s">
        <v>1672</v>
      </c>
      <c r="B585" t="s">
        <v>1673</v>
      </c>
      <c r="C585" t="str">
        <f>"57.00"</f>
        <v>57.00</v>
      </c>
      <c r="D585" t="s">
        <v>2034</v>
      </c>
    </row>
    <row r="586" spans="1:4" x14ac:dyDescent="0.55000000000000004">
      <c r="A586" t="s">
        <v>1672</v>
      </c>
      <c r="B586" t="s">
        <v>1673</v>
      </c>
      <c r="C586" t="str">
        <f>"57.12"</f>
        <v>57.12</v>
      </c>
      <c r="D586" t="s">
        <v>2035</v>
      </c>
    </row>
    <row r="587" spans="1:4" x14ac:dyDescent="0.55000000000000004">
      <c r="A587" t="s">
        <v>1672</v>
      </c>
      <c r="B587" t="s">
        <v>1673</v>
      </c>
      <c r="C587" t="str">
        <f>"57.13"</f>
        <v>57.13</v>
      </c>
      <c r="D587" t="s">
        <v>2036</v>
      </c>
    </row>
    <row r="588" spans="1:4" x14ac:dyDescent="0.55000000000000004">
      <c r="A588" t="s">
        <v>1672</v>
      </c>
      <c r="B588" t="s">
        <v>1673</v>
      </c>
      <c r="C588" t="str">
        <f>"57.18"</f>
        <v>57.18</v>
      </c>
      <c r="D588" t="s">
        <v>2037</v>
      </c>
    </row>
    <row r="589" spans="1:4" x14ac:dyDescent="0.55000000000000004">
      <c r="A589" t="s">
        <v>1672</v>
      </c>
      <c r="B589" t="s">
        <v>1673</v>
      </c>
      <c r="C589" t="str">
        <f>"57.19"</f>
        <v>57.19</v>
      </c>
      <c r="D589" t="s">
        <v>2038</v>
      </c>
    </row>
    <row r="590" spans="1:4" x14ac:dyDescent="0.55000000000000004">
      <c r="A590" t="s">
        <v>1672</v>
      </c>
      <c r="B590" t="s">
        <v>1673</v>
      </c>
      <c r="C590" t="str">
        <f>"57.190"</f>
        <v>57.190</v>
      </c>
      <c r="D590" t="s">
        <v>2039</v>
      </c>
    </row>
    <row r="591" spans="1:4" x14ac:dyDescent="0.55000000000000004">
      <c r="A591" t="s">
        <v>1672</v>
      </c>
      <c r="B591" t="s">
        <v>1673</v>
      </c>
      <c r="C591" t="str">
        <f>"57.21"</f>
        <v>57.21</v>
      </c>
      <c r="D591" t="s">
        <v>2040</v>
      </c>
    </row>
    <row r="592" spans="1:4" x14ac:dyDescent="0.55000000000000004">
      <c r="A592" t="s">
        <v>1672</v>
      </c>
      <c r="B592" t="s">
        <v>1673</v>
      </c>
      <c r="C592" t="str">
        <f>"57.22"</f>
        <v>57.22</v>
      </c>
      <c r="D592" t="s">
        <v>2041</v>
      </c>
    </row>
    <row r="593" spans="1:4" x14ac:dyDescent="0.55000000000000004">
      <c r="A593" t="s">
        <v>1672</v>
      </c>
      <c r="B593" t="s">
        <v>1673</v>
      </c>
      <c r="C593" t="str">
        <f>"57.41"</f>
        <v>57.41</v>
      </c>
      <c r="D593" t="s">
        <v>2042</v>
      </c>
    </row>
    <row r="594" spans="1:4" x14ac:dyDescent="0.55000000000000004">
      <c r="A594" t="s">
        <v>1672</v>
      </c>
      <c r="B594" t="s">
        <v>1673</v>
      </c>
      <c r="C594" t="str">
        <f>"57.49"</f>
        <v>57.49</v>
      </c>
      <c r="D594" t="s">
        <v>2043</v>
      </c>
    </row>
    <row r="595" spans="1:4" x14ac:dyDescent="0.55000000000000004">
      <c r="A595" t="s">
        <v>1672</v>
      </c>
      <c r="B595" t="s">
        <v>1673</v>
      </c>
      <c r="C595" t="str">
        <f>"57.59"</f>
        <v>57.59</v>
      </c>
      <c r="D595" t="s">
        <v>2044</v>
      </c>
    </row>
    <row r="596" spans="1:4" x14ac:dyDescent="0.55000000000000004">
      <c r="A596" t="s">
        <v>1672</v>
      </c>
      <c r="B596" t="s">
        <v>1673</v>
      </c>
      <c r="C596" t="str">
        <f>"57.6"</f>
        <v>57.6</v>
      </c>
      <c r="D596" t="s">
        <v>2045</v>
      </c>
    </row>
    <row r="597" spans="1:4" x14ac:dyDescent="0.55000000000000004">
      <c r="A597" t="s">
        <v>1672</v>
      </c>
      <c r="B597" t="s">
        <v>1673</v>
      </c>
      <c r="C597" t="str">
        <f>"57.60"</f>
        <v>57.60</v>
      </c>
      <c r="D597" t="s">
        <v>2046</v>
      </c>
    </row>
    <row r="598" spans="1:4" x14ac:dyDescent="0.55000000000000004">
      <c r="A598" t="s">
        <v>1672</v>
      </c>
      <c r="B598" t="s">
        <v>1673</v>
      </c>
      <c r="C598" t="str">
        <f>"57.71"</f>
        <v>57.71</v>
      </c>
      <c r="D598" t="s">
        <v>2047</v>
      </c>
    </row>
    <row r="599" spans="1:4" x14ac:dyDescent="0.55000000000000004">
      <c r="A599" t="s">
        <v>1672</v>
      </c>
      <c r="B599" t="s">
        <v>1673</v>
      </c>
      <c r="C599" t="str">
        <f>"57.710"</f>
        <v>57.710</v>
      </c>
      <c r="D599" t="s">
        <v>2048</v>
      </c>
    </row>
    <row r="600" spans="1:4" x14ac:dyDescent="0.55000000000000004">
      <c r="A600" t="s">
        <v>1672</v>
      </c>
      <c r="B600" t="s">
        <v>1673</v>
      </c>
      <c r="C600" t="str">
        <f>"57.72"</f>
        <v>57.72</v>
      </c>
      <c r="D600" t="s">
        <v>2049</v>
      </c>
    </row>
    <row r="601" spans="1:4" x14ac:dyDescent="0.55000000000000004">
      <c r="A601" t="s">
        <v>1672</v>
      </c>
      <c r="B601" t="s">
        <v>1673</v>
      </c>
      <c r="C601" t="str">
        <f>"57.73"</f>
        <v>57.73</v>
      </c>
      <c r="D601" t="s">
        <v>2050</v>
      </c>
    </row>
    <row r="602" spans="1:4" x14ac:dyDescent="0.55000000000000004">
      <c r="A602" t="s">
        <v>1672</v>
      </c>
      <c r="B602" t="s">
        <v>1673</v>
      </c>
      <c r="C602" t="str">
        <f>"57.74"</f>
        <v>57.74</v>
      </c>
      <c r="D602" t="s">
        <v>2051</v>
      </c>
    </row>
    <row r="603" spans="1:4" x14ac:dyDescent="0.55000000000000004">
      <c r="A603" t="s">
        <v>1672</v>
      </c>
      <c r="B603" t="s">
        <v>1673</v>
      </c>
      <c r="C603" t="str">
        <f>"57.75"</f>
        <v>57.75</v>
      </c>
      <c r="D603" t="s">
        <v>2052</v>
      </c>
    </row>
    <row r="604" spans="1:4" x14ac:dyDescent="0.55000000000000004">
      <c r="A604" t="s">
        <v>1672</v>
      </c>
      <c r="B604" t="s">
        <v>1673</v>
      </c>
      <c r="C604" t="str">
        <f>"57.76"</f>
        <v>57.76</v>
      </c>
      <c r="D604" t="s">
        <v>2053</v>
      </c>
    </row>
    <row r="605" spans="1:4" x14ac:dyDescent="0.55000000000000004">
      <c r="A605" t="s">
        <v>1672</v>
      </c>
      <c r="B605" t="s">
        <v>1673</v>
      </c>
      <c r="C605" t="str">
        <f>"57.77"</f>
        <v>57.77</v>
      </c>
      <c r="D605" t="s">
        <v>2054</v>
      </c>
    </row>
    <row r="606" spans="1:4" x14ac:dyDescent="0.55000000000000004">
      <c r="A606" t="s">
        <v>1672</v>
      </c>
      <c r="B606" t="s">
        <v>1673</v>
      </c>
      <c r="C606" t="str">
        <f>"57.79"</f>
        <v>57.79</v>
      </c>
      <c r="D606" t="s">
        <v>2055</v>
      </c>
    </row>
    <row r="607" spans="1:4" x14ac:dyDescent="0.55000000000000004">
      <c r="A607" t="s">
        <v>1672</v>
      </c>
      <c r="B607" t="s">
        <v>1673</v>
      </c>
      <c r="C607" t="str">
        <f>"57.790"</f>
        <v>57.790</v>
      </c>
      <c r="D607" t="s">
        <v>2056</v>
      </c>
    </row>
    <row r="608" spans="1:4" x14ac:dyDescent="0.55000000000000004">
      <c r="A608" t="s">
        <v>1672</v>
      </c>
      <c r="B608" t="s">
        <v>1673</v>
      </c>
      <c r="C608" t="str">
        <f>"57.81"</f>
        <v>57.81</v>
      </c>
      <c r="D608" t="s">
        <v>2057</v>
      </c>
    </row>
    <row r="609" spans="1:4" x14ac:dyDescent="0.55000000000000004">
      <c r="A609" t="s">
        <v>1672</v>
      </c>
      <c r="B609" t="s">
        <v>1673</v>
      </c>
      <c r="C609" t="str">
        <f>"57.82"</f>
        <v>57.82</v>
      </c>
      <c r="D609" t="s">
        <v>2058</v>
      </c>
    </row>
    <row r="610" spans="1:4" x14ac:dyDescent="0.55000000000000004">
      <c r="A610" t="s">
        <v>1672</v>
      </c>
      <c r="B610" t="s">
        <v>1673</v>
      </c>
      <c r="C610" t="str">
        <f>"57.820"</f>
        <v>57.820</v>
      </c>
      <c r="D610" t="s">
        <v>2059</v>
      </c>
    </row>
    <row r="611" spans="1:4" x14ac:dyDescent="0.55000000000000004">
      <c r="A611" t="s">
        <v>1672</v>
      </c>
      <c r="B611" t="s">
        <v>1673</v>
      </c>
      <c r="C611" t="str">
        <f>"57.821"</f>
        <v>57.821</v>
      </c>
      <c r="D611" t="s">
        <v>2060</v>
      </c>
    </row>
    <row r="612" spans="1:4" x14ac:dyDescent="0.55000000000000004">
      <c r="A612" t="s">
        <v>1672</v>
      </c>
      <c r="B612" t="s">
        <v>1673</v>
      </c>
      <c r="C612" t="str">
        <f>"57.822"</f>
        <v>57.822</v>
      </c>
      <c r="D612" t="s">
        <v>2061</v>
      </c>
    </row>
    <row r="613" spans="1:4" x14ac:dyDescent="0.55000000000000004">
      <c r="A613" t="s">
        <v>1672</v>
      </c>
      <c r="B613" t="s">
        <v>1673</v>
      </c>
      <c r="C613" t="str">
        <f>"57.823"</f>
        <v>57.823</v>
      </c>
      <c r="D613" t="s">
        <v>2062</v>
      </c>
    </row>
    <row r="614" spans="1:4" x14ac:dyDescent="0.55000000000000004">
      <c r="A614" t="s">
        <v>1672</v>
      </c>
      <c r="B614" t="s">
        <v>1673</v>
      </c>
      <c r="C614" t="str">
        <f>"57.824"</f>
        <v>57.824</v>
      </c>
      <c r="D614" t="s">
        <v>2063</v>
      </c>
    </row>
    <row r="615" spans="1:4" x14ac:dyDescent="0.55000000000000004">
      <c r="A615" t="s">
        <v>1672</v>
      </c>
      <c r="B615" t="s">
        <v>1673</v>
      </c>
      <c r="C615" t="str">
        <f>"57.825"</f>
        <v>57.825</v>
      </c>
      <c r="D615" t="s">
        <v>2064</v>
      </c>
    </row>
    <row r="616" spans="1:4" x14ac:dyDescent="0.55000000000000004">
      <c r="A616" t="s">
        <v>1672</v>
      </c>
      <c r="B616" t="s">
        <v>1673</v>
      </c>
      <c r="C616" t="str">
        <f>"57.83"</f>
        <v>57.83</v>
      </c>
      <c r="D616" t="s">
        <v>2065</v>
      </c>
    </row>
    <row r="617" spans="1:4" x14ac:dyDescent="0.55000000000000004">
      <c r="A617" t="s">
        <v>1672</v>
      </c>
      <c r="B617" t="s">
        <v>1673</v>
      </c>
      <c r="C617" t="str">
        <f>"57.84"</f>
        <v>57.84</v>
      </c>
      <c r="D617" t="s">
        <v>2066</v>
      </c>
    </row>
    <row r="618" spans="1:4" x14ac:dyDescent="0.55000000000000004">
      <c r="A618" t="s">
        <v>1672</v>
      </c>
      <c r="B618" t="s">
        <v>1673</v>
      </c>
      <c r="C618" t="str">
        <f>"57.85"</f>
        <v>57.85</v>
      </c>
      <c r="D618" t="s">
        <v>2067</v>
      </c>
    </row>
    <row r="619" spans="1:4" x14ac:dyDescent="0.55000000000000004">
      <c r="A619" t="s">
        <v>1672</v>
      </c>
      <c r="B619" t="s">
        <v>1673</v>
      </c>
      <c r="C619" t="str">
        <f>"57.850"</f>
        <v>57.850</v>
      </c>
      <c r="D619" t="s">
        <v>2068</v>
      </c>
    </row>
    <row r="620" spans="1:4" x14ac:dyDescent="0.55000000000000004">
      <c r="A620" t="s">
        <v>1672</v>
      </c>
      <c r="B620" t="s">
        <v>1673</v>
      </c>
      <c r="C620" t="str">
        <f>"57.87"</f>
        <v>57.87</v>
      </c>
      <c r="D620" t="s">
        <v>2069</v>
      </c>
    </row>
    <row r="621" spans="1:4" x14ac:dyDescent="0.55000000000000004">
      <c r="A621" t="s">
        <v>1672</v>
      </c>
      <c r="B621" t="s">
        <v>1673</v>
      </c>
      <c r="C621" t="str">
        <f>"57.870"</f>
        <v>57.870</v>
      </c>
      <c r="D621" t="s">
        <v>2070</v>
      </c>
    </row>
    <row r="622" spans="1:4" x14ac:dyDescent="0.55000000000000004">
      <c r="A622" t="s">
        <v>1672</v>
      </c>
      <c r="B622" t="s">
        <v>1673</v>
      </c>
      <c r="C622" t="str">
        <f>"57.871"</f>
        <v>57.871</v>
      </c>
      <c r="D622" t="s">
        <v>2071</v>
      </c>
    </row>
    <row r="623" spans="1:4" x14ac:dyDescent="0.55000000000000004">
      <c r="A623" t="s">
        <v>1672</v>
      </c>
      <c r="B623" t="s">
        <v>1673</v>
      </c>
      <c r="C623" t="str">
        <f>"57.88"</f>
        <v>57.88</v>
      </c>
      <c r="D623" t="s">
        <v>2072</v>
      </c>
    </row>
    <row r="624" spans="1:4" x14ac:dyDescent="0.55000000000000004">
      <c r="A624" t="s">
        <v>1672</v>
      </c>
      <c r="B624" t="s">
        <v>1673</v>
      </c>
      <c r="C624" t="str">
        <f>"57.89"</f>
        <v>57.89</v>
      </c>
      <c r="D624" t="s">
        <v>2073</v>
      </c>
    </row>
    <row r="625" spans="1:4" x14ac:dyDescent="0.55000000000000004">
      <c r="A625" t="s">
        <v>1672</v>
      </c>
      <c r="B625" t="s">
        <v>1673</v>
      </c>
      <c r="C625" t="str">
        <f>"57.890"</f>
        <v>57.890</v>
      </c>
      <c r="D625" t="s">
        <v>2074</v>
      </c>
    </row>
    <row r="626" spans="1:4" x14ac:dyDescent="0.55000000000000004">
      <c r="A626" t="s">
        <v>1672</v>
      </c>
      <c r="B626" t="s">
        <v>1673</v>
      </c>
      <c r="C626" t="str">
        <f>"57.91"</f>
        <v>57.91</v>
      </c>
      <c r="D626" t="s">
        <v>2075</v>
      </c>
    </row>
    <row r="627" spans="1:4" x14ac:dyDescent="0.55000000000000004">
      <c r="A627" t="s">
        <v>1672</v>
      </c>
      <c r="B627" t="s">
        <v>1673</v>
      </c>
      <c r="C627" t="str">
        <f>"57.93"</f>
        <v>57.93</v>
      </c>
      <c r="D627" t="s">
        <v>2076</v>
      </c>
    </row>
    <row r="628" spans="1:4" x14ac:dyDescent="0.55000000000000004">
      <c r="A628" t="s">
        <v>1672</v>
      </c>
      <c r="B628" t="s">
        <v>1673</v>
      </c>
      <c r="C628" t="str">
        <f>"57.96"</f>
        <v>57.96</v>
      </c>
      <c r="D628" t="s">
        <v>2077</v>
      </c>
    </row>
    <row r="629" spans="1:4" x14ac:dyDescent="0.55000000000000004">
      <c r="A629" t="s">
        <v>1672</v>
      </c>
      <c r="B629" t="s">
        <v>1673</v>
      </c>
      <c r="C629" t="str">
        <f>"57.960"</f>
        <v>57.960</v>
      </c>
      <c r="D629" t="s">
        <v>2078</v>
      </c>
    </row>
    <row r="630" spans="1:4" x14ac:dyDescent="0.55000000000000004">
      <c r="A630" t="s">
        <v>1672</v>
      </c>
      <c r="B630" t="s">
        <v>1673</v>
      </c>
      <c r="C630" t="str">
        <f>"57.97"</f>
        <v>57.97</v>
      </c>
      <c r="D630" t="s">
        <v>2079</v>
      </c>
    </row>
    <row r="631" spans="1:4" x14ac:dyDescent="0.55000000000000004">
      <c r="A631" t="s">
        <v>1672</v>
      </c>
      <c r="B631" t="s">
        <v>1673</v>
      </c>
      <c r="C631" t="str">
        <f>"57.98"</f>
        <v>57.98</v>
      </c>
      <c r="D631" t="s">
        <v>2080</v>
      </c>
    </row>
    <row r="632" spans="1:4" x14ac:dyDescent="0.55000000000000004">
      <c r="A632" t="s">
        <v>1672</v>
      </c>
      <c r="B632" t="s">
        <v>1673</v>
      </c>
      <c r="C632" t="str">
        <f>"57.99"</f>
        <v>57.99</v>
      </c>
      <c r="D632" t="s">
        <v>2081</v>
      </c>
    </row>
    <row r="633" spans="1:4" x14ac:dyDescent="0.55000000000000004">
      <c r="A633" t="s">
        <v>1672</v>
      </c>
      <c r="B633" t="s">
        <v>1673</v>
      </c>
      <c r="C633" t="str">
        <f>"58.0"</f>
        <v>58.0</v>
      </c>
      <c r="D633" t="s">
        <v>2082</v>
      </c>
    </row>
    <row r="634" spans="1:4" x14ac:dyDescent="0.55000000000000004">
      <c r="A634" t="s">
        <v>1672</v>
      </c>
      <c r="B634" t="s">
        <v>1673</v>
      </c>
      <c r="C634" t="str">
        <f>"58.1"</f>
        <v>58.1</v>
      </c>
      <c r="D634" t="s">
        <v>2083</v>
      </c>
    </row>
    <row r="635" spans="1:4" x14ac:dyDescent="0.55000000000000004">
      <c r="A635" t="s">
        <v>1672</v>
      </c>
      <c r="B635" t="s">
        <v>1673</v>
      </c>
      <c r="C635" t="str">
        <f>"58.41"</f>
        <v>58.41</v>
      </c>
      <c r="D635" t="s">
        <v>2084</v>
      </c>
    </row>
    <row r="636" spans="1:4" x14ac:dyDescent="0.55000000000000004">
      <c r="A636" t="s">
        <v>1672</v>
      </c>
      <c r="B636" t="s">
        <v>1673</v>
      </c>
      <c r="C636" t="str">
        <f>"58.42"</f>
        <v>58.42</v>
      </c>
      <c r="D636" t="s">
        <v>2085</v>
      </c>
    </row>
    <row r="637" spans="1:4" x14ac:dyDescent="0.55000000000000004">
      <c r="A637" t="s">
        <v>1672</v>
      </c>
      <c r="B637" t="s">
        <v>1673</v>
      </c>
      <c r="C637" t="str">
        <f>"58.43"</f>
        <v>58.43</v>
      </c>
      <c r="D637" t="s">
        <v>2086</v>
      </c>
    </row>
    <row r="638" spans="1:4" x14ac:dyDescent="0.55000000000000004">
      <c r="A638" t="s">
        <v>1672</v>
      </c>
      <c r="B638" t="s">
        <v>1673</v>
      </c>
      <c r="C638" t="str">
        <f>"58.44"</f>
        <v>58.44</v>
      </c>
      <c r="D638" t="s">
        <v>2087</v>
      </c>
    </row>
    <row r="639" spans="1:4" x14ac:dyDescent="0.55000000000000004">
      <c r="A639" t="s">
        <v>1672</v>
      </c>
      <c r="B639" t="s">
        <v>1673</v>
      </c>
      <c r="C639" t="str">
        <f>"58.46"</f>
        <v>58.46</v>
      </c>
      <c r="D639" t="s">
        <v>2088</v>
      </c>
    </row>
    <row r="640" spans="1:4" x14ac:dyDescent="0.55000000000000004">
      <c r="A640" t="s">
        <v>1672</v>
      </c>
      <c r="B640" t="s">
        <v>1673</v>
      </c>
      <c r="C640" t="str">
        <f>"58.47"</f>
        <v>58.47</v>
      </c>
      <c r="D640" t="s">
        <v>2089</v>
      </c>
    </row>
    <row r="641" spans="1:4" x14ac:dyDescent="0.55000000000000004">
      <c r="A641" t="s">
        <v>1672</v>
      </c>
      <c r="B641" t="s">
        <v>1673</v>
      </c>
      <c r="C641" t="str">
        <f>"58.49"</f>
        <v>58.49</v>
      </c>
      <c r="D641" t="s">
        <v>2090</v>
      </c>
    </row>
    <row r="642" spans="1:4" x14ac:dyDescent="0.55000000000000004">
      <c r="A642" t="s">
        <v>1672</v>
      </c>
      <c r="B642" t="s">
        <v>1673</v>
      </c>
      <c r="C642" t="str">
        <f>"58.490"</f>
        <v>58.490</v>
      </c>
      <c r="D642" t="s">
        <v>2091</v>
      </c>
    </row>
    <row r="643" spans="1:4" x14ac:dyDescent="0.55000000000000004">
      <c r="A643" t="s">
        <v>1672</v>
      </c>
      <c r="B643" t="s">
        <v>1673</v>
      </c>
      <c r="C643" t="str">
        <f>"58.491"</f>
        <v>58.491</v>
      </c>
      <c r="D643" t="s">
        <v>2092</v>
      </c>
    </row>
    <row r="644" spans="1:4" x14ac:dyDescent="0.55000000000000004">
      <c r="A644" t="s">
        <v>1672</v>
      </c>
      <c r="B644" t="s">
        <v>1673</v>
      </c>
      <c r="C644" t="str">
        <f>"58.492"</f>
        <v>58.492</v>
      </c>
      <c r="D644" t="s">
        <v>2093</v>
      </c>
    </row>
    <row r="645" spans="1:4" x14ac:dyDescent="0.55000000000000004">
      <c r="A645" t="s">
        <v>1672</v>
      </c>
      <c r="B645" t="s">
        <v>1673</v>
      </c>
      <c r="C645" t="str">
        <f>"58.5"</f>
        <v>58.5</v>
      </c>
      <c r="D645" t="s">
        <v>2094</v>
      </c>
    </row>
    <row r="646" spans="1:4" x14ac:dyDescent="0.55000000000000004">
      <c r="A646" t="s">
        <v>1672</v>
      </c>
      <c r="B646" t="s">
        <v>1673</v>
      </c>
      <c r="C646" t="str">
        <f>"58.91"</f>
        <v>58.91</v>
      </c>
      <c r="D646" t="s">
        <v>2095</v>
      </c>
    </row>
    <row r="647" spans="1:4" x14ac:dyDescent="0.55000000000000004">
      <c r="A647" t="s">
        <v>1672</v>
      </c>
      <c r="B647" t="s">
        <v>1673</v>
      </c>
      <c r="C647" t="str">
        <f>"58.92"</f>
        <v>58.92</v>
      </c>
      <c r="D647" t="s">
        <v>2096</v>
      </c>
    </row>
    <row r="648" spans="1:4" x14ac:dyDescent="0.55000000000000004">
      <c r="A648" t="s">
        <v>1672</v>
      </c>
      <c r="B648" t="s">
        <v>1673</v>
      </c>
      <c r="C648" t="str">
        <f>"58.93"</f>
        <v>58.93</v>
      </c>
      <c r="D648" t="s">
        <v>2097</v>
      </c>
    </row>
    <row r="649" spans="1:4" x14ac:dyDescent="0.55000000000000004">
      <c r="A649" t="s">
        <v>1672</v>
      </c>
      <c r="B649" t="s">
        <v>1673</v>
      </c>
      <c r="C649" t="str">
        <f>"58.99"</f>
        <v>58.99</v>
      </c>
      <c r="D649" t="s">
        <v>2098</v>
      </c>
    </row>
    <row r="650" spans="1:4" x14ac:dyDescent="0.55000000000000004">
      <c r="A650" t="s">
        <v>1672</v>
      </c>
      <c r="B650" t="s">
        <v>1673</v>
      </c>
      <c r="C650" t="str">
        <f>"59.00"</f>
        <v>59.00</v>
      </c>
      <c r="D650" t="s">
        <v>2099</v>
      </c>
    </row>
    <row r="651" spans="1:4" x14ac:dyDescent="0.55000000000000004">
      <c r="A651" t="s">
        <v>1672</v>
      </c>
      <c r="B651" t="s">
        <v>1673</v>
      </c>
      <c r="C651" t="str">
        <f>"59.02"</f>
        <v>59.02</v>
      </c>
      <c r="D651" t="s">
        <v>2100</v>
      </c>
    </row>
    <row r="652" spans="1:4" x14ac:dyDescent="0.55000000000000004">
      <c r="A652" t="s">
        <v>1672</v>
      </c>
      <c r="B652" t="s">
        <v>1673</v>
      </c>
      <c r="C652" t="str">
        <f>"59.03"</f>
        <v>59.03</v>
      </c>
      <c r="D652" t="s">
        <v>2101</v>
      </c>
    </row>
    <row r="653" spans="1:4" x14ac:dyDescent="0.55000000000000004">
      <c r="A653" t="s">
        <v>1672</v>
      </c>
      <c r="B653" t="s">
        <v>1673</v>
      </c>
      <c r="C653" t="str">
        <f>"59.09"</f>
        <v>59.09</v>
      </c>
      <c r="D653" t="s">
        <v>2102</v>
      </c>
    </row>
    <row r="654" spans="1:4" x14ac:dyDescent="0.55000000000000004">
      <c r="A654" t="s">
        <v>1672</v>
      </c>
      <c r="B654" t="s">
        <v>1673</v>
      </c>
      <c r="C654" t="str">
        <f>"59.11"</f>
        <v>59.11</v>
      </c>
      <c r="D654" t="s">
        <v>2103</v>
      </c>
    </row>
    <row r="655" spans="1:4" x14ac:dyDescent="0.55000000000000004">
      <c r="A655" t="s">
        <v>1672</v>
      </c>
      <c r="B655" t="s">
        <v>1673</v>
      </c>
      <c r="C655" t="str">
        <f>"59.12"</f>
        <v>59.12</v>
      </c>
      <c r="D655" t="s">
        <v>2104</v>
      </c>
    </row>
    <row r="656" spans="1:4" x14ac:dyDescent="0.55000000000000004">
      <c r="A656" t="s">
        <v>1672</v>
      </c>
      <c r="B656" t="s">
        <v>1673</v>
      </c>
      <c r="C656" t="str">
        <f>"59.19"</f>
        <v>59.19</v>
      </c>
      <c r="D656" t="s">
        <v>2105</v>
      </c>
    </row>
    <row r="657" spans="1:4" x14ac:dyDescent="0.55000000000000004">
      <c r="A657" t="s">
        <v>1672</v>
      </c>
      <c r="B657" t="s">
        <v>1673</v>
      </c>
      <c r="C657" t="str">
        <f>"59.8"</f>
        <v>59.8</v>
      </c>
      <c r="D657" t="s">
        <v>2106</v>
      </c>
    </row>
    <row r="658" spans="1:4" x14ac:dyDescent="0.55000000000000004">
      <c r="A658" t="s">
        <v>1672</v>
      </c>
      <c r="B658" t="s">
        <v>1673</v>
      </c>
      <c r="C658" t="str">
        <f>"59.80"</f>
        <v>59.80</v>
      </c>
      <c r="D658" t="s">
        <v>2107</v>
      </c>
    </row>
    <row r="659" spans="1:4" x14ac:dyDescent="0.55000000000000004">
      <c r="A659" t="s">
        <v>1672</v>
      </c>
      <c r="B659" t="s">
        <v>1673</v>
      </c>
      <c r="C659" t="str">
        <f>"59.91"</f>
        <v>59.91</v>
      </c>
      <c r="D659" t="s">
        <v>2108</v>
      </c>
    </row>
    <row r="660" spans="1:4" x14ac:dyDescent="0.55000000000000004">
      <c r="A660" t="s">
        <v>1672</v>
      </c>
      <c r="B660" t="s">
        <v>1673</v>
      </c>
      <c r="C660" t="str">
        <f>"59.92"</f>
        <v>59.92</v>
      </c>
      <c r="D660" t="s">
        <v>2109</v>
      </c>
    </row>
    <row r="661" spans="1:4" x14ac:dyDescent="0.55000000000000004">
      <c r="A661" t="s">
        <v>1672</v>
      </c>
      <c r="B661" t="s">
        <v>1673</v>
      </c>
      <c r="C661" t="str">
        <f>"60.0"</f>
        <v>60.0</v>
      </c>
      <c r="D661" t="s">
        <v>2110</v>
      </c>
    </row>
    <row r="662" spans="1:4" x14ac:dyDescent="0.55000000000000004">
      <c r="A662" t="s">
        <v>1672</v>
      </c>
      <c r="B662" t="s">
        <v>1673</v>
      </c>
      <c r="C662" t="str">
        <f>"60.81"</f>
        <v>60.81</v>
      </c>
      <c r="D662" t="s">
        <v>2111</v>
      </c>
    </row>
    <row r="663" spans="1:4" x14ac:dyDescent="0.55000000000000004">
      <c r="A663" t="s">
        <v>1672</v>
      </c>
      <c r="B663" t="s">
        <v>1673</v>
      </c>
      <c r="C663" t="str">
        <f>"60.82"</f>
        <v>60.82</v>
      </c>
      <c r="D663" t="s">
        <v>2112</v>
      </c>
    </row>
    <row r="664" spans="1:4" x14ac:dyDescent="0.55000000000000004">
      <c r="A664" t="s">
        <v>1672</v>
      </c>
      <c r="B664" t="s">
        <v>1673</v>
      </c>
      <c r="C664" t="str">
        <f>"60.93"</f>
        <v>60.93</v>
      </c>
      <c r="D664" t="s">
        <v>2113</v>
      </c>
    </row>
    <row r="665" spans="1:4" x14ac:dyDescent="0.55000000000000004">
      <c r="A665" t="s">
        <v>1672</v>
      </c>
      <c r="B665" t="s">
        <v>1673</v>
      </c>
      <c r="C665" t="str">
        <f>"60.94"</f>
        <v>60.94</v>
      </c>
      <c r="D665" t="s">
        <v>2114</v>
      </c>
    </row>
    <row r="666" spans="1:4" x14ac:dyDescent="0.55000000000000004">
      <c r="A666" t="s">
        <v>1672</v>
      </c>
      <c r="B666" t="s">
        <v>1673</v>
      </c>
      <c r="C666" t="str">
        <f>"60.95"</f>
        <v>60.95</v>
      </c>
      <c r="D666" t="s">
        <v>2115</v>
      </c>
    </row>
    <row r="667" spans="1:4" x14ac:dyDescent="0.55000000000000004">
      <c r="A667" t="s">
        <v>1672</v>
      </c>
      <c r="B667" t="s">
        <v>1673</v>
      </c>
      <c r="C667" t="str">
        <f>"60.99"</f>
        <v>60.99</v>
      </c>
      <c r="D667" t="s">
        <v>2116</v>
      </c>
    </row>
    <row r="668" spans="1:4" x14ac:dyDescent="0.55000000000000004">
      <c r="A668" t="s">
        <v>1672</v>
      </c>
      <c r="B668" t="s">
        <v>1673</v>
      </c>
      <c r="C668" t="str">
        <f>"61.3"</f>
        <v>61.3</v>
      </c>
      <c r="D668" t="s">
        <v>2117</v>
      </c>
    </row>
    <row r="669" spans="1:4" x14ac:dyDescent="0.55000000000000004">
      <c r="A669" t="s">
        <v>1672</v>
      </c>
      <c r="B669" t="s">
        <v>1673</v>
      </c>
      <c r="C669" t="str">
        <f>"61.42"</f>
        <v>61.42</v>
      </c>
      <c r="D669" t="s">
        <v>2118</v>
      </c>
    </row>
    <row r="670" spans="1:4" x14ac:dyDescent="0.55000000000000004">
      <c r="A670" t="s">
        <v>1672</v>
      </c>
      <c r="B670" t="s">
        <v>1673</v>
      </c>
      <c r="C670" t="str">
        <f>"61.49"</f>
        <v>61.49</v>
      </c>
      <c r="D670" t="s">
        <v>2119</v>
      </c>
    </row>
    <row r="671" spans="1:4" x14ac:dyDescent="0.55000000000000004">
      <c r="A671" t="s">
        <v>1672</v>
      </c>
      <c r="B671" t="s">
        <v>1673</v>
      </c>
      <c r="C671" t="str">
        <f>"61.92"</f>
        <v>61.92</v>
      </c>
      <c r="D671" t="s">
        <v>2120</v>
      </c>
    </row>
    <row r="672" spans="1:4" x14ac:dyDescent="0.55000000000000004">
      <c r="A672" t="s">
        <v>1672</v>
      </c>
      <c r="B672" t="s">
        <v>1673</v>
      </c>
      <c r="C672" t="str">
        <f>"61.99"</f>
        <v>61.99</v>
      </c>
      <c r="D672" t="s">
        <v>2121</v>
      </c>
    </row>
    <row r="673" spans="1:4" x14ac:dyDescent="0.55000000000000004">
      <c r="A673" t="s">
        <v>1672</v>
      </c>
      <c r="B673" t="s">
        <v>1673</v>
      </c>
      <c r="C673" t="str">
        <f>"62.0"</f>
        <v>62.0</v>
      </c>
      <c r="D673" t="s">
        <v>2122</v>
      </c>
    </row>
    <row r="674" spans="1:4" x14ac:dyDescent="0.55000000000000004">
      <c r="A674" t="s">
        <v>1672</v>
      </c>
      <c r="B674" t="s">
        <v>1673</v>
      </c>
      <c r="C674" t="str">
        <f>"62.00"</f>
        <v>62.00</v>
      </c>
      <c r="D674" t="s">
        <v>2123</v>
      </c>
    </row>
    <row r="675" spans="1:4" x14ac:dyDescent="0.55000000000000004">
      <c r="A675" t="s">
        <v>1672</v>
      </c>
      <c r="B675" t="s">
        <v>1673</v>
      </c>
      <c r="C675" t="str">
        <f>"62.2"</f>
        <v>62.2</v>
      </c>
      <c r="D675" t="s">
        <v>2124</v>
      </c>
    </row>
    <row r="676" spans="1:4" x14ac:dyDescent="0.55000000000000004">
      <c r="A676" t="s">
        <v>1672</v>
      </c>
      <c r="B676" t="s">
        <v>1673</v>
      </c>
      <c r="C676" t="str">
        <f>"62.3"</f>
        <v>62.3</v>
      </c>
      <c r="D676" t="s">
        <v>2125</v>
      </c>
    </row>
    <row r="677" spans="1:4" x14ac:dyDescent="0.55000000000000004">
      <c r="A677" t="s">
        <v>1672</v>
      </c>
      <c r="B677" t="s">
        <v>1673</v>
      </c>
      <c r="C677" t="str">
        <f>"62.30"</f>
        <v>62.30</v>
      </c>
      <c r="D677" t="s">
        <v>2126</v>
      </c>
    </row>
    <row r="678" spans="1:4" x14ac:dyDescent="0.55000000000000004">
      <c r="A678" t="s">
        <v>1672</v>
      </c>
      <c r="B678" t="s">
        <v>1673</v>
      </c>
      <c r="C678" t="str">
        <f>"62.31"</f>
        <v>62.31</v>
      </c>
      <c r="D678" t="s">
        <v>2127</v>
      </c>
    </row>
    <row r="679" spans="1:4" x14ac:dyDescent="0.55000000000000004">
      <c r="A679" t="s">
        <v>1672</v>
      </c>
      <c r="B679" t="s">
        <v>1673</v>
      </c>
      <c r="C679" t="str">
        <f>"62.41"</f>
        <v>62.41</v>
      </c>
      <c r="D679" t="s">
        <v>2128</v>
      </c>
    </row>
    <row r="680" spans="1:4" x14ac:dyDescent="0.55000000000000004">
      <c r="A680" t="s">
        <v>1672</v>
      </c>
      <c r="B680" t="s">
        <v>1673</v>
      </c>
      <c r="C680" t="str">
        <f>"62.410"</f>
        <v>62.410</v>
      </c>
      <c r="D680" t="s">
        <v>2129</v>
      </c>
    </row>
    <row r="681" spans="1:4" x14ac:dyDescent="0.55000000000000004">
      <c r="A681" t="s">
        <v>1672</v>
      </c>
      <c r="B681" t="s">
        <v>1673</v>
      </c>
      <c r="C681" t="str">
        <f>"62.411"</f>
        <v>62.411</v>
      </c>
      <c r="D681" t="s">
        <v>2130</v>
      </c>
    </row>
    <row r="682" spans="1:4" x14ac:dyDescent="0.55000000000000004">
      <c r="A682" t="s">
        <v>1672</v>
      </c>
      <c r="B682" t="s">
        <v>1673</v>
      </c>
      <c r="C682" t="str">
        <f>"62.42"</f>
        <v>62.42</v>
      </c>
      <c r="D682" t="s">
        <v>2131</v>
      </c>
    </row>
    <row r="683" spans="1:4" x14ac:dyDescent="0.55000000000000004">
      <c r="A683" t="s">
        <v>1672</v>
      </c>
      <c r="B683" t="s">
        <v>1673</v>
      </c>
      <c r="C683" t="str">
        <f>"62.43"</f>
        <v>62.43</v>
      </c>
      <c r="D683" t="s">
        <v>2132</v>
      </c>
    </row>
    <row r="684" spans="1:4" x14ac:dyDescent="0.55000000000000004">
      <c r="A684" t="s">
        <v>1672</v>
      </c>
      <c r="B684" t="s">
        <v>1673</v>
      </c>
      <c r="C684" t="str">
        <f>"62.5"</f>
        <v>62.5</v>
      </c>
      <c r="D684" t="s">
        <v>2133</v>
      </c>
    </row>
    <row r="685" spans="1:4" x14ac:dyDescent="0.55000000000000004">
      <c r="A685" t="s">
        <v>1672</v>
      </c>
      <c r="B685" t="s">
        <v>1673</v>
      </c>
      <c r="C685" t="str">
        <f>"62.50"</f>
        <v>62.50</v>
      </c>
      <c r="D685" t="s">
        <v>2134</v>
      </c>
    </row>
    <row r="686" spans="1:4" x14ac:dyDescent="0.55000000000000004">
      <c r="A686" t="s">
        <v>1672</v>
      </c>
      <c r="B686" t="s">
        <v>1673</v>
      </c>
      <c r="C686" t="str">
        <f>"62.51"</f>
        <v>62.51</v>
      </c>
      <c r="D686" t="s">
        <v>2135</v>
      </c>
    </row>
    <row r="687" spans="1:4" x14ac:dyDescent="0.55000000000000004">
      <c r="A687" t="s">
        <v>1672</v>
      </c>
      <c r="B687" t="s">
        <v>1673</v>
      </c>
      <c r="C687" t="str">
        <f>"62.52"</f>
        <v>62.52</v>
      </c>
      <c r="D687" t="s">
        <v>2136</v>
      </c>
    </row>
    <row r="688" spans="1:4" x14ac:dyDescent="0.55000000000000004">
      <c r="A688" t="s">
        <v>1672</v>
      </c>
      <c r="B688" t="s">
        <v>1673</v>
      </c>
      <c r="C688" t="str">
        <f>"62.61"</f>
        <v>62.61</v>
      </c>
      <c r="D688" t="s">
        <v>2137</v>
      </c>
    </row>
    <row r="689" spans="1:4" x14ac:dyDescent="0.55000000000000004">
      <c r="A689" t="s">
        <v>1672</v>
      </c>
      <c r="B689" t="s">
        <v>1673</v>
      </c>
      <c r="C689" t="str">
        <f>"62.69"</f>
        <v>62.69</v>
      </c>
      <c r="D689" t="s">
        <v>2138</v>
      </c>
    </row>
    <row r="690" spans="1:4" x14ac:dyDescent="0.55000000000000004">
      <c r="A690" t="s">
        <v>1672</v>
      </c>
      <c r="B690" t="s">
        <v>1673</v>
      </c>
      <c r="C690" t="str">
        <f>"62.7"</f>
        <v>62.7</v>
      </c>
      <c r="D690" t="s">
        <v>2139</v>
      </c>
    </row>
    <row r="691" spans="1:4" x14ac:dyDescent="0.55000000000000004">
      <c r="A691" t="s">
        <v>1672</v>
      </c>
      <c r="B691" t="s">
        <v>1673</v>
      </c>
      <c r="C691" t="str">
        <f>"62.99"</f>
        <v>62.99</v>
      </c>
      <c r="D691" t="s">
        <v>2140</v>
      </c>
    </row>
    <row r="692" spans="1:4" x14ac:dyDescent="0.55000000000000004">
      <c r="A692" t="s">
        <v>1672</v>
      </c>
      <c r="B692" t="s">
        <v>1673</v>
      </c>
      <c r="C692" t="str">
        <f>"63.3"</f>
        <v>63.3</v>
      </c>
      <c r="D692" t="s">
        <v>2141</v>
      </c>
    </row>
    <row r="693" spans="1:4" x14ac:dyDescent="0.55000000000000004">
      <c r="A693" t="s">
        <v>1672</v>
      </c>
      <c r="B693" t="s">
        <v>1673</v>
      </c>
      <c r="C693" t="str">
        <f>"63.4"</f>
        <v>63.4</v>
      </c>
      <c r="D693" t="s">
        <v>2142</v>
      </c>
    </row>
    <row r="694" spans="1:4" x14ac:dyDescent="0.55000000000000004">
      <c r="A694" t="s">
        <v>1672</v>
      </c>
      <c r="B694" t="s">
        <v>1673</v>
      </c>
      <c r="C694" t="str">
        <f>"63.51"</f>
        <v>63.51</v>
      </c>
      <c r="D694" t="s">
        <v>2143</v>
      </c>
    </row>
    <row r="695" spans="1:4" x14ac:dyDescent="0.55000000000000004">
      <c r="A695" t="s">
        <v>1672</v>
      </c>
      <c r="B695" t="s">
        <v>1673</v>
      </c>
      <c r="C695" t="str">
        <f>"63.53"</f>
        <v>63.53</v>
      </c>
      <c r="D695" t="s">
        <v>2144</v>
      </c>
    </row>
    <row r="696" spans="1:4" x14ac:dyDescent="0.55000000000000004">
      <c r="A696" t="s">
        <v>1672</v>
      </c>
      <c r="B696" t="s">
        <v>1673</v>
      </c>
      <c r="C696" t="str">
        <f>"63.59"</f>
        <v>63.59</v>
      </c>
      <c r="D696" t="s">
        <v>2145</v>
      </c>
    </row>
    <row r="697" spans="1:4" x14ac:dyDescent="0.55000000000000004">
      <c r="A697" t="s">
        <v>1672</v>
      </c>
      <c r="B697" t="s">
        <v>1673</v>
      </c>
      <c r="C697" t="str">
        <f>"63.81"</f>
        <v>63.81</v>
      </c>
      <c r="D697" t="s">
        <v>2146</v>
      </c>
    </row>
    <row r="698" spans="1:4" x14ac:dyDescent="0.55000000000000004">
      <c r="A698" t="s">
        <v>1672</v>
      </c>
      <c r="B698" t="s">
        <v>1673</v>
      </c>
      <c r="C698" t="str">
        <f>"63.89"</f>
        <v>63.89</v>
      </c>
      <c r="D698" t="s">
        <v>2147</v>
      </c>
    </row>
    <row r="699" spans="1:4" x14ac:dyDescent="0.55000000000000004">
      <c r="A699" t="s">
        <v>1672</v>
      </c>
      <c r="B699" t="s">
        <v>1673</v>
      </c>
      <c r="C699" t="str">
        <f>"63.92"</f>
        <v>63.92</v>
      </c>
      <c r="D699" t="s">
        <v>2148</v>
      </c>
    </row>
    <row r="700" spans="1:4" x14ac:dyDescent="0.55000000000000004">
      <c r="A700" t="s">
        <v>1672</v>
      </c>
      <c r="B700" t="s">
        <v>1673</v>
      </c>
      <c r="C700" t="str">
        <f>"63.93"</f>
        <v>63.93</v>
      </c>
      <c r="D700" t="s">
        <v>2149</v>
      </c>
    </row>
    <row r="701" spans="1:4" x14ac:dyDescent="0.55000000000000004">
      <c r="A701" t="s">
        <v>1672</v>
      </c>
      <c r="B701" t="s">
        <v>1673</v>
      </c>
      <c r="C701" t="str">
        <f>"63.94"</f>
        <v>63.94</v>
      </c>
      <c r="D701" t="s">
        <v>2150</v>
      </c>
    </row>
    <row r="702" spans="1:4" x14ac:dyDescent="0.55000000000000004">
      <c r="A702" t="s">
        <v>1672</v>
      </c>
      <c r="B702" t="s">
        <v>1673</v>
      </c>
      <c r="C702" t="str">
        <f>"63.96"</f>
        <v>63.96</v>
      </c>
      <c r="D702" t="s">
        <v>2151</v>
      </c>
    </row>
    <row r="703" spans="1:4" x14ac:dyDescent="0.55000000000000004">
      <c r="A703" t="s">
        <v>1672</v>
      </c>
      <c r="B703" t="s">
        <v>1673</v>
      </c>
      <c r="C703" t="str">
        <f>"63.97"</f>
        <v>63.97</v>
      </c>
      <c r="D703" t="s">
        <v>2152</v>
      </c>
    </row>
    <row r="704" spans="1:4" x14ac:dyDescent="0.55000000000000004">
      <c r="A704" t="s">
        <v>1672</v>
      </c>
      <c r="B704" t="s">
        <v>1673</v>
      </c>
      <c r="C704" t="str">
        <f>"63.99"</f>
        <v>63.99</v>
      </c>
      <c r="D704" t="s">
        <v>2153</v>
      </c>
    </row>
    <row r="705" spans="1:4" x14ac:dyDescent="0.55000000000000004">
      <c r="A705" t="s">
        <v>1672</v>
      </c>
      <c r="B705" t="s">
        <v>1673</v>
      </c>
      <c r="C705" t="str">
        <f>"64.2"</f>
        <v>64.2</v>
      </c>
      <c r="D705" t="s">
        <v>2154</v>
      </c>
    </row>
    <row r="706" spans="1:4" x14ac:dyDescent="0.55000000000000004">
      <c r="A706" t="s">
        <v>1672</v>
      </c>
      <c r="B706" t="s">
        <v>1673</v>
      </c>
      <c r="C706" t="str">
        <f>"64.20"</f>
        <v>64.20</v>
      </c>
      <c r="D706" t="s">
        <v>2155</v>
      </c>
    </row>
    <row r="707" spans="1:4" x14ac:dyDescent="0.55000000000000004">
      <c r="A707" t="s">
        <v>1672</v>
      </c>
      <c r="B707" t="s">
        <v>1673</v>
      </c>
      <c r="C707" t="str">
        <f>"64.3"</f>
        <v>64.3</v>
      </c>
      <c r="D707" t="s">
        <v>2156</v>
      </c>
    </row>
    <row r="708" spans="1:4" x14ac:dyDescent="0.55000000000000004">
      <c r="A708" t="s">
        <v>1672</v>
      </c>
      <c r="B708" t="s">
        <v>1673</v>
      </c>
      <c r="C708" t="str">
        <f>"64.30"</f>
        <v>64.30</v>
      </c>
      <c r="D708" t="s">
        <v>2157</v>
      </c>
    </row>
    <row r="709" spans="1:4" x14ac:dyDescent="0.55000000000000004">
      <c r="A709" t="s">
        <v>1672</v>
      </c>
      <c r="B709" t="s">
        <v>1673</v>
      </c>
      <c r="C709" t="str">
        <f>"64.41"</f>
        <v>64.41</v>
      </c>
      <c r="D709" t="s">
        <v>2158</v>
      </c>
    </row>
    <row r="710" spans="1:4" x14ac:dyDescent="0.55000000000000004">
      <c r="A710" t="s">
        <v>1672</v>
      </c>
      <c r="B710" t="s">
        <v>1673</v>
      </c>
      <c r="C710" t="str">
        <f>"64.43"</f>
        <v>64.43</v>
      </c>
      <c r="D710" t="s">
        <v>2159</v>
      </c>
    </row>
    <row r="711" spans="1:4" x14ac:dyDescent="0.55000000000000004">
      <c r="A711" t="s">
        <v>1672</v>
      </c>
      <c r="B711" t="s">
        <v>1673</v>
      </c>
      <c r="C711" t="str">
        <f>"64.44"</f>
        <v>64.44</v>
      </c>
      <c r="D711" t="s">
        <v>2160</v>
      </c>
    </row>
    <row r="712" spans="1:4" x14ac:dyDescent="0.55000000000000004">
      <c r="A712" t="s">
        <v>1672</v>
      </c>
      <c r="B712" t="s">
        <v>1673</v>
      </c>
      <c r="C712" t="str">
        <f>"64.440"</f>
        <v>64.440</v>
      </c>
      <c r="D712" t="s">
        <v>2161</v>
      </c>
    </row>
    <row r="713" spans="1:4" x14ac:dyDescent="0.55000000000000004">
      <c r="A713" t="s">
        <v>1672</v>
      </c>
      <c r="B713" t="s">
        <v>1673</v>
      </c>
      <c r="C713" t="str">
        <f>"64.45"</f>
        <v>64.45</v>
      </c>
      <c r="D713" t="s">
        <v>2162</v>
      </c>
    </row>
    <row r="714" spans="1:4" x14ac:dyDescent="0.55000000000000004">
      <c r="A714" t="s">
        <v>1672</v>
      </c>
      <c r="B714" t="s">
        <v>1673</v>
      </c>
      <c r="C714" t="str">
        <f>"64.46"</f>
        <v>64.46</v>
      </c>
      <c r="D714" t="s">
        <v>2163</v>
      </c>
    </row>
    <row r="715" spans="1:4" x14ac:dyDescent="0.55000000000000004">
      <c r="A715" t="s">
        <v>1672</v>
      </c>
      <c r="B715" t="s">
        <v>1673</v>
      </c>
      <c r="C715" t="str">
        <f>"64.49"</f>
        <v>64.49</v>
      </c>
      <c r="D715" t="s">
        <v>2164</v>
      </c>
    </row>
    <row r="716" spans="1:4" x14ac:dyDescent="0.55000000000000004">
      <c r="A716" t="s">
        <v>1672</v>
      </c>
      <c r="B716" t="s">
        <v>1673</v>
      </c>
      <c r="C716" t="str">
        <f>"64.490"</f>
        <v>64.490</v>
      </c>
      <c r="D716" t="s">
        <v>2165</v>
      </c>
    </row>
    <row r="717" spans="1:4" x14ac:dyDescent="0.55000000000000004">
      <c r="A717" t="s">
        <v>1672</v>
      </c>
      <c r="B717" t="s">
        <v>1673</v>
      </c>
      <c r="C717" t="str">
        <f>"64.92"</f>
        <v>64.92</v>
      </c>
      <c r="D717" t="s">
        <v>2166</v>
      </c>
    </row>
    <row r="718" spans="1:4" x14ac:dyDescent="0.55000000000000004">
      <c r="A718" t="s">
        <v>1672</v>
      </c>
      <c r="B718" t="s">
        <v>1673</v>
      </c>
      <c r="C718" t="str">
        <f>"64.93"</f>
        <v>64.93</v>
      </c>
      <c r="D718" t="s">
        <v>2167</v>
      </c>
    </row>
    <row r="719" spans="1:4" x14ac:dyDescent="0.55000000000000004">
      <c r="A719" t="s">
        <v>1672</v>
      </c>
      <c r="B719" t="s">
        <v>1673</v>
      </c>
      <c r="C719" t="str">
        <f>"64.98"</f>
        <v>64.98</v>
      </c>
      <c r="D719" t="s">
        <v>2168</v>
      </c>
    </row>
    <row r="720" spans="1:4" x14ac:dyDescent="0.55000000000000004">
      <c r="A720" t="s">
        <v>1672</v>
      </c>
      <c r="B720" t="s">
        <v>1673</v>
      </c>
      <c r="C720" t="str">
        <f>"64.99"</f>
        <v>64.99</v>
      </c>
      <c r="D720" t="s">
        <v>2169</v>
      </c>
    </row>
    <row r="721" spans="1:4" x14ac:dyDescent="0.55000000000000004">
      <c r="A721" t="s">
        <v>1672</v>
      </c>
      <c r="B721" t="s">
        <v>1673</v>
      </c>
      <c r="C721" t="str">
        <f>"65.01"</f>
        <v>65.01</v>
      </c>
      <c r="D721" t="s">
        <v>2170</v>
      </c>
    </row>
    <row r="722" spans="1:4" x14ac:dyDescent="0.55000000000000004">
      <c r="A722" t="s">
        <v>1672</v>
      </c>
      <c r="B722" t="s">
        <v>1673</v>
      </c>
      <c r="C722" t="str">
        <f>"65.09"</f>
        <v>65.09</v>
      </c>
      <c r="D722" t="s">
        <v>2171</v>
      </c>
    </row>
    <row r="723" spans="1:4" x14ac:dyDescent="0.55000000000000004">
      <c r="A723" t="s">
        <v>1672</v>
      </c>
      <c r="B723" t="s">
        <v>1673</v>
      </c>
      <c r="C723" t="str">
        <f>"65.22"</f>
        <v>65.22</v>
      </c>
      <c r="D723" t="s">
        <v>2172</v>
      </c>
    </row>
    <row r="724" spans="1:4" x14ac:dyDescent="0.55000000000000004">
      <c r="A724" t="s">
        <v>1672</v>
      </c>
      <c r="B724" t="s">
        <v>1673</v>
      </c>
      <c r="C724" t="str">
        <f>"65.24"</f>
        <v>65.24</v>
      </c>
      <c r="D724" t="s">
        <v>2173</v>
      </c>
    </row>
    <row r="725" spans="1:4" x14ac:dyDescent="0.55000000000000004">
      <c r="A725" t="s">
        <v>1672</v>
      </c>
      <c r="B725" t="s">
        <v>1673</v>
      </c>
      <c r="C725" t="str">
        <f>"65.25"</f>
        <v>65.25</v>
      </c>
      <c r="D725" t="s">
        <v>2174</v>
      </c>
    </row>
    <row r="726" spans="1:4" x14ac:dyDescent="0.55000000000000004">
      <c r="A726" t="s">
        <v>1672</v>
      </c>
      <c r="B726" t="s">
        <v>1673</v>
      </c>
      <c r="C726" t="str">
        <f>"65.29"</f>
        <v>65.29</v>
      </c>
      <c r="D726" t="s">
        <v>2175</v>
      </c>
    </row>
    <row r="727" spans="1:4" x14ac:dyDescent="0.55000000000000004">
      <c r="A727" t="s">
        <v>1672</v>
      </c>
      <c r="B727" t="s">
        <v>1673</v>
      </c>
      <c r="C727" t="str">
        <f>"65.31"</f>
        <v>65.31</v>
      </c>
      <c r="D727" t="s">
        <v>2176</v>
      </c>
    </row>
    <row r="728" spans="1:4" x14ac:dyDescent="0.55000000000000004">
      <c r="A728" t="s">
        <v>1672</v>
      </c>
      <c r="B728" t="s">
        <v>1673</v>
      </c>
      <c r="C728" t="str">
        <f>"65.39"</f>
        <v>65.39</v>
      </c>
      <c r="D728" t="s">
        <v>2177</v>
      </c>
    </row>
    <row r="729" spans="1:4" x14ac:dyDescent="0.55000000000000004">
      <c r="A729" t="s">
        <v>1672</v>
      </c>
      <c r="B729" t="s">
        <v>1673</v>
      </c>
      <c r="C729" t="str">
        <f>"65.41"</f>
        <v>65.41</v>
      </c>
      <c r="D729" t="s">
        <v>2178</v>
      </c>
    </row>
    <row r="730" spans="1:4" x14ac:dyDescent="0.55000000000000004">
      <c r="A730" t="s">
        <v>1672</v>
      </c>
      <c r="B730" t="s">
        <v>1673</v>
      </c>
      <c r="C730" t="str">
        <f>"65.49"</f>
        <v>65.49</v>
      </c>
      <c r="D730" t="s">
        <v>2179</v>
      </c>
    </row>
    <row r="731" spans="1:4" x14ac:dyDescent="0.55000000000000004">
      <c r="A731" t="s">
        <v>1672</v>
      </c>
      <c r="B731" t="s">
        <v>1673</v>
      </c>
      <c r="C731" t="str">
        <f>"65.51"</f>
        <v>65.51</v>
      </c>
      <c r="D731" t="s">
        <v>2180</v>
      </c>
    </row>
    <row r="732" spans="1:4" x14ac:dyDescent="0.55000000000000004">
      <c r="A732" t="s">
        <v>1672</v>
      </c>
      <c r="B732" t="s">
        <v>1673</v>
      </c>
      <c r="C732" t="str">
        <f>"65.52"</f>
        <v>65.52</v>
      </c>
      <c r="D732" t="s">
        <v>2181</v>
      </c>
    </row>
    <row r="733" spans="1:4" x14ac:dyDescent="0.55000000000000004">
      <c r="A733" t="s">
        <v>1672</v>
      </c>
      <c r="B733" t="s">
        <v>1673</v>
      </c>
      <c r="C733" t="str">
        <f>"65.53"</f>
        <v>65.53</v>
      </c>
      <c r="D733" t="s">
        <v>2182</v>
      </c>
    </row>
    <row r="734" spans="1:4" x14ac:dyDescent="0.55000000000000004">
      <c r="A734" t="s">
        <v>1672</v>
      </c>
      <c r="B734" t="s">
        <v>1673</v>
      </c>
      <c r="C734" t="str">
        <f>"65.54"</f>
        <v>65.54</v>
      </c>
      <c r="D734" t="s">
        <v>2183</v>
      </c>
    </row>
    <row r="735" spans="1:4" x14ac:dyDescent="0.55000000000000004">
      <c r="A735" t="s">
        <v>1672</v>
      </c>
      <c r="B735" t="s">
        <v>1673</v>
      </c>
      <c r="C735" t="str">
        <f>"65.61"</f>
        <v>65.61</v>
      </c>
      <c r="D735" t="s">
        <v>2184</v>
      </c>
    </row>
    <row r="736" spans="1:4" x14ac:dyDescent="0.55000000000000004">
      <c r="A736" t="s">
        <v>1672</v>
      </c>
      <c r="B736" t="s">
        <v>1673</v>
      </c>
      <c r="C736" t="str">
        <f>"65.62"</f>
        <v>65.62</v>
      </c>
      <c r="D736" t="s">
        <v>2185</v>
      </c>
    </row>
    <row r="737" spans="1:4" x14ac:dyDescent="0.55000000000000004">
      <c r="A737" t="s">
        <v>1672</v>
      </c>
      <c r="B737" t="s">
        <v>1673</v>
      </c>
      <c r="C737" t="str">
        <f>"65.63"</f>
        <v>65.63</v>
      </c>
      <c r="D737" t="s">
        <v>2186</v>
      </c>
    </row>
    <row r="738" spans="1:4" x14ac:dyDescent="0.55000000000000004">
      <c r="A738" t="s">
        <v>1672</v>
      </c>
      <c r="B738" t="s">
        <v>1673</v>
      </c>
      <c r="C738" t="str">
        <f>"65.64"</f>
        <v>65.64</v>
      </c>
      <c r="D738" t="s">
        <v>2187</v>
      </c>
    </row>
    <row r="739" spans="1:4" x14ac:dyDescent="0.55000000000000004">
      <c r="A739" t="s">
        <v>1672</v>
      </c>
      <c r="B739" t="s">
        <v>1673</v>
      </c>
      <c r="C739" t="str">
        <f>"65.71"</f>
        <v>65.71</v>
      </c>
      <c r="D739" t="s">
        <v>2188</v>
      </c>
    </row>
    <row r="740" spans="1:4" x14ac:dyDescent="0.55000000000000004">
      <c r="A740" t="s">
        <v>1672</v>
      </c>
      <c r="B740" t="s">
        <v>1673</v>
      </c>
      <c r="C740" t="str">
        <f>"65.72"</f>
        <v>65.72</v>
      </c>
      <c r="D740" t="s">
        <v>2189</v>
      </c>
    </row>
    <row r="741" spans="1:4" x14ac:dyDescent="0.55000000000000004">
      <c r="A741" t="s">
        <v>1672</v>
      </c>
      <c r="B741" t="s">
        <v>1673</v>
      </c>
      <c r="C741" t="str">
        <f>"65.73"</f>
        <v>65.73</v>
      </c>
      <c r="D741" t="s">
        <v>2190</v>
      </c>
    </row>
    <row r="742" spans="1:4" x14ac:dyDescent="0.55000000000000004">
      <c r="A742" t="s">
        <v>1672</v>
      </c>
      <c r="B742" t="s">
        <v>1673</v>
      </c>
      <c r="C742" t="str">
        <f>"65.74"</f>
        <v>65.74</v>
      </c>
      <c r="D742" t="s">
        <v>2191</v>
      </c>
    </row>
    <row r="743" spans="1:4" x14ac:dyDescent="0.55000000000000004">
      <c r="A743" t="s">
        <v>1672</v>
      </c>
      <c r="B743" t="s">
        <v>1673</v>
      </c>
      <c r="C743" t="str">
        <f>"65.75"</f>
        <v>65.75</v>
      </c>
      <c r="D743" t="s">
        <v>2192</v>
      </c>
    </row>
    <row r="744" spans="1:4" x14ac:dyDescent="0.55000000000000004">
      <c r="A744" t="s">
        <v>1672</v>
      </c>
      <c r="B744" t="s">
        <v>1673</v>
      </c>
      <c r="C744" t="str">
        <f>"65.76"</f>
        <v>65.76</v>
      </c>
      <c r="D744" t="s">
        <v>2193</v>
      </c>
    </row>
    <row r="745" spans="1:4" x14ac:dyDescent="0.55000000000000004">
      <c r="A745" t="s">
        <v>1672</v>
      </c>
      <c r="B745" t="s">
        <v>1673</v>
      </c>
      <c r="C745" t="str">
        <f>"65.79"</f>
        <v>65.79</v>
      </c>
      <c r="D745" t="s">
        <v>2194</v>
      </c>
    </row>
    <row r="746" spans="1:4" x14ac:dyDescent="0.55000000000000004">
      <c r="A746" t="s">
        <v>1672</v>
      </c>
      <c r="B746" t="s">
        <v>1673</v>
      </c>
      <c r="C746" t="str">
        <f>"65.81"</f>
        <v>65.81</v>
      </c>
      <c r="D746" t="s">
        <v>2195</v>
      </c>
    </row>
    <row r="747" spans="1:4" x14ac:dyDescent="0.55000000000000004">
      <c r="A747" t="s">
        <v>1672</v>
      </c>
      <c r="B747" t="s">
        <v>1673</v>
      </c>
      <c r="C747" t="str">
        <f>"65.89"</f>
        <v>65.89</v>
      </c>
      <c r="D747" t="s">
        <v>2196</v>
      </c>
    </row>
    <row r="748" spans="1:4" x14ac:dyDescent="0.55000000000000004">
      <c r="A748" t="s">
        <v>1672</v>
      </c>
      <c r="B748" t="s">
        <v>1673</v>
      </c>
      <c r="C748" t="str">
        <f>"65.91"</f>
        <v>65.91</v>
      </c>
      <c r="D748" t="s">
        <v>2197</v>
      </c>
    </row>
    <row r="749" spans="1:4" x14ac:dyDescent="0.55000000000000004">
      <c r="A749" t="s">
        <v>1672</v>
      </c>
      <c r="B749" t="s">
        <v>1673</v>
      </c>
      <c r="C749" t="str">
        <f>"65.92"</f>
        <v>65.92</v>
      </c>
      <c r="D749" t="s">
        <v>2198</v>
      </c>
    </row>
    <row r="750" spans="1:4" x14ac:dyDescent="0.55000000000000004">
      <c r="A750" t="s">
        <v>1672</v>
      </c>
      <c r="B750" t="s">
        <v>1673</v>
      </c>
      <c r="C750" t="str">
        <f>"65.95"</f>
        <v>65.95</v>
      </c>
      <c r="D750" t="s">
        <v>2199</v>
      </c>
    </row>
    <row r="751" spans="1:4" x14ac:dyDescent="0.55000000000000004">
      <c r="A751" t="s">
        <v>1672</v>
      </c>
      <c r="B751" t="s">
        <v>1673</v>
      </c>
      <c r="C751" t="str">
        <f>"65.99"</f>
        <v>65.99</v>
      </c>
      <c r="D751" t="s">
        <v>2200</v>
      </c>
    </row>
    <row r="752" spans="1:4" x14ac:dyDescent="0.55000000000000004">
      <c r="A752" t="s">
        <v>1672</v>
      </c>
      <c r="B752" t="s">
        <v>1673</v>
      </c>
      <c r="C752" t="str">
        <f>"66.01"</f>
        <v>66.01</v>
      </c>
      <c r="D752" t="s">
        <v>2201</v>
      </c>
    </row>
    <row r="753" spans="1:4" x14ac:dyDescent="0.55000000000000004">
      <c r="A753" t="s">
        <v>1672</v>
      </c>
      <c r="B753" t="s">
        <v>1673</v>
      </c>
      <c r="C753" t="str">
        <f>"66.02"</f>
        <v>66.02</v>
      </c>
      <c r="D753" t="s">
        <v>2202</v>
      </c>
    </row>
    <row r="754" spans="1:4" x14ac:dyDescent="0.55000000000000004">
      <c r="A754" t="s">
        <v>1672</v>
      </c>
      <c r="B754" t="s">
        <v>1673</v>
      </c>
      <c r="C754" t="str">
        <f>"66.03"</f>
        <v>66.03</v>
      </c>
      <c r="D754" t="s">
        <v>2203</v>
      </c>
    </row>
    <row r="755" spans="1:4" x14ac:dyDescent="0.55000000000000004">
      <c r="A755" t="s">
        <v>1672</v>
      </c>
      <c r="B755" t="s">
        <v>1673</v>
      </c>
      <c r="C755" t="str">
        <f>"66.04"</f>
        <v>66.04</v>
      </c>
      <c r="D755" t="s">
        <v>2204</v>
      </c>
    </row>
    <row r="756" spans="1:4" x14ac:dyDescent="0.55000000000000004">
      <c r="A756" t="s">
        <v>1672</v>
      </c>
      <c r="B756" t="s">
        <v>1673</v>
      </c>
      <c r="C756" t="str">
        <f>"66.4"</f>
        <v>66.4</v>
      </c>
      <c r="D756" t="s">
        <v>2205</v>
      </c>
    </row>
    <row r="757" spans="1:4" x14ac:dyDescent="0.55000000000000004">
      <c r="A757" t="s">
        <v>1672</v>
      </c>
      <c r="B757" t="s">
        <v>1673</v>
      </c>
      <c r="C757" t="str">
        <f>"66.40"</f>
        <v>66.40</v>
      </c>
      <c r="D757" t="s">
        <v>2206</v>
      </c>
    </row>
    <row r="758" spans="1:4" x14ac:dyDescent="0.55000000000000004">
      <c r="A758" t="s">
        <v>1672</v>
      </c>
      <c r="B758" t="s">
        <v>1673</v>
      </c>
      <c r="C758" t="str">
        <f>"66.50"</f>
        <v>66.50</v>
      </c>
      <c r="D758" t="s">
        <v>2207</v>
      </c>
    </row>
    <row r="759" spans="1:4" x14ac:dyDescent="0.55000000000000004">
      <c r="A759" t="s">
        <v>1672</v>
      </c>
      <c r="B759" t="s">
        <v>1673</v>
      </c>
      <c r="C759" t="str">
        <f>"66.51"</f>
        <v>66.51</v>
      </c>
      <c r="D759" t="s">
        <v>2208</v>
      </c>
    </row>
    <row r="760" spans="1:4" x14ac:dyDescent="0.55000000000000004">
      <c r="A760" t="s">
        <v>1672</v>
      </c>
      <c r="B760" t="s">
        <v>1673</v>
      </c>
      <c r="C760" t="str">
        <f>"66.52"</f>
        <v>66.52</v>
      </c>
      <c r="D760" t="s">
        <v>2209</v>
      </c>
    </row>
    <row r="761" spans="1:4" x14ac:dyDescent="0.55000000000000004">
      <c r="A761" t="s">
        <v>1672</v>
      </c>
      <c r="B761" t="s">
        <v>1673</v>
      </c>
      <c r="C761" t="str">
        <f>"66.60"</f>
        <v>66.60</v>
      </c>
      <c r="D761" t="s">
        <v>2210</v>
      </c>
    </row>
    <row r="762" spans="1:4" x14ac:dyDescent="0.55000000000000004">
      <c r="A762" t="s">
        <v>1672</v>
      </c>
      <c r="B762" t="s">
        <v>1673</v>
      </c>
      <c r="C762" t="str">
        <f>"66.61"</f>
        <v>66.61</v>
      </c>
      <c r="D762" t="s">
        <v>2211</v>
      </c>
    </row>
    <row r="763" spans="1:4" x14ac:dyDescent="0.55000000000000004">
      <c r="A763" t="s">
        <v>1672</v>
      </c>
      <c r="B763" t="s">
        <v>1673</v>
      </c>
      <c r="C763" t="str">
        <f>"66.63"</f>
        <v>66.63</v>
      </c>
      <c r="D763" t="s">
        <v>2212</v>
      </c>
    </row>
    <row r="764" spans="1:4" x14ac:dyDescent="0.55000000000000004">
      <c r="A764" t="s">
        <v>1672</v>
      </c>
      <c r="B764" t="s">
        <v>1673</v>
      </c>
      <c r="C764" t="str">
        <f>"66.68"</f>
        <v>66.68</v>
      </c>
      <c r="D764" t="s">
        <v>2213</v>
      </c>
    </row>
    <row r="765" spans="1:4" x14ac:dyDescent="0.55000000000000004">
      <c r="A765" t="s">
        <v>1672</v>
      </c>
      <c r="B765" t="s">
        <v>1673</v>
      </c>
      <c r="C765" t="str">
        <f>"66.69"</f>
        <v>66.69</v>
      </c>
      <c r="D765" t="s">
        <v>2214</v>
      </c>
    </row>
    <row r="766" spans="1:4" x14ac:dyDescent="0.55000000000000004">
      <c r="A766" t="s">
        <v>1672</v>
      </c>
      <c r="B766" t="s">
        <v>1673</v>
      </c>
      <c r="C766" t="str">
        <f>"66.71"</f>
        <v>66.71</v>
      </c>
      <c r="D766" t="s">
        <v>2215</v>
      </c>
    </row>
    <row r="767" spans="1:4" x14ac:dyDescent="0.55000000000000004">
      <c r="A767" t="s">
        <v>1672</v>
      </c>
      <c r="B767" t="s">
        <v>1673</v>
      </c>
      <c r="C767" t="str">
        <f>"66.72"</f>
        <v>66.72</v>
      </c>
      <c r="D767" t="s">
        <v>2216</v>
      </c>
    </row>
    <row r="768" spans="1:4" x14ac:dyDescent="0.55000000000000004">
      <c r="A768" t="s">
        <v>1672</v>
      </c>
      <c r="B768" t="s">
        <v>1673</v>
      </c>
      <c r="C768" t="str">
        <f>"66.73"</f>
        <v>66.73</v>
      </c>
      <c r="D768" t="s">
        <v>2217</v>
      </c>
    </row>
    <row r="769" spans="1:4" x14ac:dyDescent="0.55000000000000004">
      <c r="A769" t="s">
        <v>1672</v>
      </c>
      <c r="B769" t="s">
        <v>1673</v>
      </c>
      <c r="C769" t="str">
        <f>"66.74"</f>
        <v>66.74</v>
      </c>
      <c r="D769" t="s">
        <v>2218</v>
      </c>
    </row>
    <row r="770" spans="1:4" x14ac:dyDescent="0.55000000000000004">
      <c r="A770" t="s">
        <v>1672</v>
      </c>
      <c r="B770" t="s">
        <v>1673</v>
      </c>
      <c r="C770" t="str">
        <f>"66.79"</f>
        <v>66.79</v>
      </c>
      <c r="D770" t="s">
        <v>2219</v>
      </c>
    </row>
    <row r="771" spans="1:4" x14ac:dyDescent="0.55000000000000004">
      <c r="A771" t="s">
        <v>1672</v>
      </c>
      <c r="B771" t="s">
        <v>1673</v>
      </c>
      <c r="C771" t="str">
        <f>"66.92"</f>
        <v>66.92</v>
      </c>
      <c r="D771" t="s">
        <v>2220</v>
      </c>
    </row>
    <row r="772" spans="1:4" x14ac:dyDescent="0.55000000000000004">
      <c r="A772" t="s">
        <v>1672</v>
      </c>
      <c r="B772" t="s">
        <v>1673</v>
      </c>
      <c r="C772" t="str">
        <f>"66.93"</f>
        <v>66.93</v>
      </c>
      <c r="D772" t="s">
        <v>2221</v>
      </c>
    </row>
    <row r="773" spans="1:4" x14ac:dyDescent="0.55000000000000004">
      <c r="A773" t="s">
        <v>1672</v>
      </c>
      <c r="B773" t="s">
        <v>1673</v>
      </c>
      <c r="C773" t="str">
        <f>"66.94"</f>
        <v>66.94</v>
      </c>
      <c r="D773" t="s">
        <v>2222</v>
      </c>
    </row>
    <row r="774" spans="1:4" x14ac:dyDescent="0.55000000000000004">
      <c r="A774" t="s">
        <v>1672</v>
      </c>
      <c r="B774" t="s">
        <v>1673</v>
      </c>
      <c r="C774" t="str">
        <f>"66.96"</f>
        <v>66.96</v>
      </c>
      <c r="D774" t="s">
        <v>2223</v>
      </c>
    </row>
    <row r="775" spans="1:4" x14ac:dyDescent="0.55000000000000004">
      <c r="A775" t="s">
        <v>1672</v>
      </c>
      <c r="B775" t="s">
        <v>1673</v>
      </c>
      <c r="C775" t="str">
        <f>"66.97"</f>
        <v>66.97</v>
      </c>
      <c r="D775" t="s">
        <v>2224</v>
      </c>
    </row>
    <row r="776" spans="1:4" x14ac:dyDescent="0.55000000000000004">
      <c r="A776" t="s">
        <v>1672</v>
      </c>
      <c r="B776" t="s">
        <v>1673</v>
      </c>
      <c r="C776" t="str">
        <f>"66.99"</f>
        <v>66.99</v>
      </c>
      <c r="D776" t="s">
        <v>2225</v>
      </c>
    </row>
    <row r="777" spans="1:4" x14ac:dyDescent="0.55000000000000004">
      <c r="A777" t="s">
        <v>1672</v>
      </c>
      <c r="B777" t="s">
        <v>1673</v>
      </c>
      <c r="C777" t="str">
        <f>"67.2"</f>
        <v>67.2</v>
      </c>
      <c r="D777" t="s">
        <v>2226</v>
      </c>
    </row>
    <row r="778" spans="1:4" x14ac:dyDescent="0.55000000000000004">
      <c r="A778" t="s">
        <v>1672</v>
      </c>
      <c r="B778" t="s">
        <v>1673</v>
      </c>
      <c r="C778" t="str">
        <f>"67.32"</f>
        <v>67.32</v>
      </c>
      <c r="D778" t="s">
        <v>2227</v>
      </c>
    </row>
    <row r="779" spans="1:4" x14ac:dyDescent="0.55000000000000004">
      <c r="A779" t="s">
        <v>1672</v>
      </c>
      <c r="B779" t="s">
        <v>1673</v>
      </c>
      <c r="C779" t="str">
        <f>"67.33"</f>
        <v>67.33</v>
      </c>
      <c r="D779" t="s">
        <v>2228</v>
      </c>
    </row>
    <row r="780" spans="1:4" x14ac:dyDescent="0.55000000000000004">
      <c r="A780" t="s">
        <v>1672</v>
      </c>
      <c r="B780" t="s">
        <v>1673</v>
      </c>
      <c r="C780" t="str">
        <f>"67.39"</f>
        <v>67.39</v>
      </c>
      <c r="D780" t="s">
        <v>2229</v>
      </c>
    </row>
    <row r="781" spans="1:4" x14ac:dyDescent="0.55000000000000004">
      <c r="A781" t="s">
        <v>1672</v>
      </c>
      <c r="B781" t="s">
        <v>1673</v>
      </c>
      <c r="C781" t="str">
        <f>"67.4"</f>
        <v>67.4</v>
      </c>
      <c r="D781" t="s">
        <v>2230</v>
      </c>
    </row>
    <row r="782" spans="1:4" x14ac:dyDescent="0.55000000000000004">
      <c r="A782" t="s">
        <v>1672</v>
      </c>
      <c r="B782" t="s">
        <v>1673</v>
      </c>
      <c r="C782" t="str">
        <f>"67.61"</f>
        <v>67.61</v>
      </c>
      <c r="D782" t="s">
        <v>2231</v>
      </c>
    </row>
    <row r="783" spans="1:4" x14ac:dyDescent="0.55000000000000004">
      <c r="A783" t="s">
        <v>1672</v>
      </c>
      <c r="B783" t="s">
        <v>1673</v>
      </c>
      <c r="C783" t="str">
        <f>"67.62"</f>
        <v>67.62</v>
      </c>
      <c r="D783" t="s">
        <v>2232</v>
      </c>
    </row>
    <row r="784" spans="1:4" x14ac:dyDescent="0.55000000000000004">
      <c r="A784" t="s">
        <v>1672</v>
      </c>
      <c r="B784" t="s">
        <v>1673</v>
      </c>
      <c r="C784" t="str">
        <f>"67.69"</f>
        <v>67.69</v>
      </c>
      <c r="D784" t="s">
        <v>2233</v>
      </c>
    </row>
    <row r="785" spans="1:4" x14ac:dyDescent="0.55000000000000004">
      <c r="A785" t="s">
        <v>1672</v>
      </c>
      <c r="B785" t="s">
        <v>1673</v>
      </c>
      <c r="C785" t="str">
        <f>"68.0"</f>
        <v>68.0</v>
      </c>
      <c r="D785" t="s">
        <v>2234</v>
      </c>
    </row>
    <row r="786" spans="1:4" x14ac:dyDescent="0.55000000000000004">
      <c r="A786" t="s">
        <v>1672</v>
      </c>
      <c r="B786" t="s">
        <v>1673</v>
      </c>
      <c r="C786" t="str">
        <f>"68.29"</f>
        <v>68.29</v>
      </c>
      <c r="D786" t="s">
        <v>2235</v>
      </c>
    </row>
    <row r="787" spans="1:4" x14ac:dyDescent="0.55000000000000004">
      <c r="A787" t="s">
        <v>1672</v>
      </c>
      <c r="B787" t="s">
        <v>1673</v>
      </c>
      <c r="C787" t="str">
        <f>"68.31"</f>
        <v>68.31</v>
      </c>
      <c r="D787" t="s">
        <v>2236</v>
      </c>
    </row>
    <row r="788" spans="1:4" x14ac:dyDescent="0.55000000000000004">
      <c r="A788" t="s">
        <v>1672</v>
      </c>
      <c r="B788" t="s">
        <v>1673</v>
      </c>
      <c r="C788" t="str">
        <f>"68.39"</f>
        <v>68.39</v>
      </c>
      <c r="D788" t="s">
        <v>2237</v>
      </c>
    </row>
    <row r="789" spans="1:4" x14ac:dyDescent="0.55000000000000004">
      <c r="A789" t="s">
        <v>1672</v>
      </c>
      <c r="B789" t="s">
        <v>1673</v>
      </c>
      <c r="C789" t="str">
        <f>"68.8"</f>
        <v>68.8</v>
      </c>
      <c r="D789" t="s">
        <v>2238</v>
      </c>
    </row>
    <row r="790" spans="1:4" x14ac:dyDescent="0.55000000000000004">
      <c r="A790" t="s">
        <v>1672</v>
      </c>
      <c r="B790" t="s">
        <v>1673</v>
      </c>
      <c r="C790" t="str">
        <f>"68.9"</f>
        <v>68.9</v>
      </c>
      <c r="D790" t="s">
        <v>2239</v>
      </c>
    </row>
    <row r="791" spans="1:4" x14ac:dyDescent="0.55000000000000004">
      <c r="A791" t="s">
        <v>1672</v>
      </c>
      <c r="B791" t="s">
        <v>1673</v>
      </c>
      <c r="C791" t="str">
        <f>"69.19"</f>
        <v>69.19</v>
      </c>
      <c r="D791" t="s">
        <v>2240</v>
      </c>
    </row>
    <row r="792" spans="1:4" x14ac:dyDescent="0.55000000000000004">
      <c r="A792" t="s">
        <v>1672</v>
      </c>
      <c r="B792" t="s">
        <v>1673</v>
      </c>
      <c r="C792" t="str">
        <f>"69.21"</f>
        <v>69.21</v>
      </c>
      <c r="D792" t="s">
        <v>2241</v>
      </c>
    </row>
    <row r="793" spans="1:4" x14ac:dyDescent="0.55000000000000004">
      <c r="A793" t="s">
        <v>1672</v>
      </c>
      <c r="B793" t="s">
        <v>1673</v>
      </c>
      <c r="C793" t="str">
        <f>"69.22"</f>
        <v>69.22</v>
      </c>
      <c r="D793" t="s">
        <v>2242</v>
      </c>
    </row>
    <row r="794" spans="1:4" x14ac:dyDescent="0.55000000000000004">
      <c r="A794" t="s">
        <v>1672</v>
      </c>
      <c r="B794" t="s">
        <v>1673</v>
      </c>
      <c r="C794" t="str">
        <f>"69.29"</f>
        <v>69.29</v>
      </c>
      <c r="D794" t="s">
        <v>2243</v>
      </c>
    </row>
    <row r="795" spans="1:4" x14ac:dyDescent="0.55000000000000004">
      <c r="A795" t="s">
        <v>1672</v>
      </c>
      <c r="B795" t="s">
        <v>1673</v>
      </c>
      <c r="C795" t="str">
        <f>"69.40"</f>
        <v>69.40</v>
      </c>
      <c r="D795" t="s">
        <v>2244</v>
      </c>
    </row>
    <row r="796" spans="1:4" x14ac:dyDescent="0.55000000000000004">
      <c r="A796" t="s">
        <v>1672</v>
      </c>
      <c r="B796" t="s">
        <v>1673</v>
      </c>
      <c r="C796" t="str">
        <f>"69.41"</f>
        <v>69.41</v>
      </c>
      <c r="D796" t="s">
        <v>2245</v>
      </c>
    </row>
    <row r="797" spans="1:4" x14ac:dyDescent="0.55000000000000004">
      <c r="A797" t="s">
        <v>1672</v>
      </c>
      <c r="B797" t="s">
        <v>1673</v>
      </c>
      <c r="C797" t="str">
        <f>"69.42"</f>
        <v>69.42</v>
      </c>
      <c r="D797" t="s">
        <v>2246</v>
      </c>
    </row>
    <row r="798" spans="1:4" x14ac:dyDescent="0.55000000000000004">
      <c r="A798" t="s">
        <v>1672</v>
      </c>
      <c r="B798" t="s">
        <v>1673</v>
      </c>
      <c r="C798" t="str">
        <f>"69.49"</f>
        <v>69.49</v>
      </c>
      <c r="D798" t="s">
        <v>2247</v>
      </c>
    </row>
    <row r="799" spans="1:4" x14ac:dyDescent="0.55000000000000004">
      <c r="A799" t="s">
        <v>1672</v>
      </c>
      <c r="B799" t="s">
        <v>1673</v>
      </c>
      <c r="C799" t="str">
        <f>"69.95"</f>
        <v>69.95</v>
      </c>
      <c r="D799" t="s">
        <v>2248</v>
      </c>
    </row>
    <row r="800" spans="1:4" x14ac:dyDescent="0.55000000000000004">
      <c r="A800" t="s">
        <v>1672</v>
      </c>
      <c r="B800" t="s">
        <v>1673</v>
      </c>
      <c r="C800" t="str">
        <f>"69.97"</f>
        <v>69.97</v>
      </c>
      <c r="D800" t="s">
        <v>2249</v>
      </c>
    </row>
    <row r="801" spans="1:4" x14ac:dyDescent="0.55000000000000004">
      <c r="A801" t="s">
        <v>1672</v>
      </c>
      <c r="B801" t="s">
        <v>1673</v>
      </c>
      <c r="C801" t="str">
        <f>"69.98"</f>
        <v>69.98</v>
      </c>
      <c r="D801" t="s">
        <v>2250</v>
      </c>
    </row>
    <row r="802" spans="1:4" x14ac:dyDescent="0.55000000000000004">
      <c r="A802" t="s">
        <v>1672</v>
      </c>
      <c r="B802" t="s">
        <v>1673</v>
      </c>
      <c r="C802" t="str">
        <f>"69.99"</f>
        <v>69.99</v>
      </c>
      <c r="D802" t="s">
        <v>2251</v>
      </c>
    </row>
    <row r="803" spans="1:4" x14ac:dyDescent="0.55000000000000004">
      <c r="A803" t="s">
        <v>1672</v>
      </c>
      <c r="B803" t="s">
        <v>1673</v>
      </c>
      <c r="C803" t="str">
        <f>"70.12"</f>
        <v>70.12</v>
      </c>
      <c r="D803" t="s">
        <v>2252</v>
      </c>
    </row>
    <row r="804" spans="1:4" x14ac:dyDescent="0.55000000000000004">
      <c r="A804" t="s">
        <v>1672</v>
      </c>
      <c r="B804" t="s">
        <v>1673</v>
      </c>
      <c r="C804" t="str">
        <f>"70.13"</f>
        <v>70.13</v>
      </c>
      <c r="D804" t="s">
        <v>2253</v>
      </c>
    </row>
    <row r="805" spans="1:4" x14ac:dyDescent="0.55000000000000004">
      <c r="A805" t="s">
        <v>1672</v>
      </c>
      <c r="B805" t="s">
        <v>1673</v>
      </c>
      <c r="C805" t="str">
        <f>"70.14"</f>
        <v>70.14</v>
      </c>
      <c r="D805" t="s">
        <v>2254</v>
      </c>
    </row>
    <row r="806" spans="1:4" x14ac:dyDescent="0.55000000000000004">
      <c r="A806" t="s">
        <v>1672</v>
      </c>
      <c r="B806" t="s">
        <v>1673</v>
      </c>
      <c r="C806" t="str">
        <f>"70.32"</f>
        <v>70.32</v>
      </c>
      <c r="D806" t="s">
        <v>2255</v>
      </c>
    </row>
    <row r="807" spans="1:4" x14ac:dyDescent="0.55000000000000004">
      <c r="A807" t="s">
        <v>1672</v>
      </c>
      <c r="B807" t="s">
        <v>1673</v>
      </c>
      <c r="C807" t="str">
        <f>"70.33"</f>
        <v>70.33</v>
      </c>
      <c r="D807" t="s">
        <v>2256</v>
      </c>
    </row>
    <row r="808" spans="1:4" x14ac:dyDescent="0.55000000000000004">
      <c r="A808" t="s">
        <v>1672</v>
      </c>
      <c r="B808" t="s">
        <v>1673</v>
      </c>
      <c r="C808" t="str">
        <f>"70.4"</f>
        <v>70.4</v>
      </c>
      <c r="D808" t="s">
        <v>2257</v>
      </c>
    </row>
    <row r="809" spans="1:4" x14ac:dyDescent="0.55000000000000004">
      <c r="A809" t="s">
        <v>1672</v>
      </c>
      <c r="B809" t="s">
        <v>1673</v>
      </c>
      <c r="C809" t="str">
        <f>"70.61"</f>
        <v>70.61</v>
      </c>
      <c r="D809" t="s">
        <v>2258</v>
      </c>
    </row>
    <row r="810" spans="1:4" x14ac:dyDescent="0.55000000000000004">
      <c r="A810" t="s">
        <v>1672</v>
      </c>
      <c r="B810" t="s">
        <v>1673</v>
      </c>
      <c r="C810" t="str">
        <f>"70.62"</f>
        <v>70.62</v>
      </c>
      <c r="D810" t="s">
        <v>2259</v>
      </c>
    </row>
    <row r="811" spans="1:4" x14ac:dyDescent="0.55000000000000004">
      <c r="A811" t="s">
        <v>1672</v>
      </c>
      <c r="B811" t="s">
        <v>1673</v>
      </c>
      <c r="C811" t="str">
        <f>"70.63"</f>
        <v>70.63</v>
      </c>
      <c r="D811" t="s">
        <v>2260</v>
      </c>
    </row>
    <row r="812" spans="1:4" x14ac:dyDescent="0.55000000000000004">
      <c r="A812" t="s">
        <v>1672</v>
      </c>
      <c r="B812" t="s">
        <v>1673</v>
      </c>
      <c r="C812" t="str">
        <f>"70.64"</f>
        <v>70.64</v>
      </c>
      <c r="D812" t="s">
        <v>2261</v>
      </c>
    </row>
    <row r="813" spans="1:4" x14ac:dyDescent="0.55000000000000004">
      <c r="A813" t="s">
        <v>1672</v>
      </c>
      <c r="B813" t="s">
        <v>1673</v>
      </c>
      <c r="C813" t="str">
        <f>"70.70"</f>
        <v>70.70</v>
      </c>
      <c r="D813" t="s">
        <v>2262</v>
      </c>
    </row>
    <row r="814" spans="1:4" x14ac:dyDescent="0.55000000000000004">
      <c r="A814" t="s">
        <v>1672</v>
      </c>
      <c r="B814" t="s">
        <v>1673</v>
      </c>
      <c r="C814" t="str">
        <f>"70.71"</f>
        <v>70.71</v>
      </c>
      <c r="D814" t="s">
        <v>2263</v>
      </c>
    </row>
    <row r="815" spans="1:4" x14ac:dyDescent="0.55000000000000004">
      <c r="A815" t="s">
        <v>1672</v>
      </c>
      <c r="B815" t="s">
        <v>1673</v>
      </c>
      <c r="C815" t="str">
        <f>"70.72"</f>
        <v>70.72</v>
      </c>
      <c r="D815" t="s">
        <v>2264</v>
      </c>
    </row>
    <row r="816" spans="1:4" x14ac:dyDescent="0.55000000000000004">
      <c r="A816" t="s">
        <v>1672</v>
      </c>
      <c r="B816" t="s">
        <v>1673</v>
      </c>
      <c r="C816" t="str">
        <f>"70.73"</f>
        <v>70.73</v>
      </c>
      <c r="D816" t="s">
        <v>2265</v>
      </c>
    </row>
    <row r="817" spans="1:4" x14ac:dyDescent="0.55000000000000004">
      <c r="A817" t="s">
        <v>1672</v>
      </c>
      <c r="B817" t="s">
        <v>1673</v>
      </c>
      <c r="C817" t="str">
        <f>"70.74"</f>
        <v>70.74</v>
      </c>
      <c r="D817" t="s">
        <v>2266</v>
      </c>
    </row>
    <row r="818" spans="1:4" x14ac:dyDescent="0.55000000000000004">
      <c r="A818" t="s">
        <v>1672</v>
      </c>
      <c r="B818" t="s">
        <v>1673</v>
      </c>
      <c r="C818" t="str">
        <f>"70.75"</f>
        <v>70.75</v>
      </c>
      <c r="D818" t="s">
        <v>2267</v>
      </c>
    </row>
    <row r="819" spans="1:4" x14ac:dyDescent="0.55000000000000004">
      <c r="A819" t="s">
        <v>1672</v>
      </c>
      <c r="B819" t="s">
        <v>1673</v>
      </c>
      <c r="C819" t="str">
        <f>"70.77"</f>
        <v>70.77</v>
      </c>
      <c r="D819" t="s">
        <v>2268</v>
      </c>
    </row>
    <row r="820" spans="1:4" x14ac:dyDescent="0.55000000000000004">
      <c r="A820" t="s">
        <v>1672</v>
      </c>
      <c r="B820" t="s">
        <v>1673</v>
      </c>
      <c r="C820" t="str">
        <f>"70.78"</f>
        <v>70.78</v>
      </c>
      <c r="D820" t="s">
        <v>2269</v>
      </c>
    </row>
    <row r="821" spans="1:4" x14ac:dyDescent="0.55000000000000004">
      <c r="A821" t="s">
        <v>1672</v>
      </c>
      <c r="B821" t="s">
        <v>1673</v>
      </c>
      <c r="C821" t="str">
        <f>"70.79"</f>
        <v>70.79</v>
      </c>
      <c r="D821" t="s">
        <v>2270</v>
      </c>
    </row>
    <row r="822" spans="1:4" x14ac:dyDescent="0.55000000000000004">
      <c r="A822" t="s">
        <v>1672</v>
      </c>
      <c r="B822" t="s">
        <v>1673</v>
      </c>
      <c r="C822" t="str">
        <f>"70.8"</f>
        <v>70.8</v>
      </c>
      <c r="D822" t="s">
        <v>2271</v>
      </c>
    </row>
    <row r="823" spans="1:4" x14ac:dyDescent="0.55000000000000004">
      <c r="A823" t="s">
        <v>1672</v>
      </c>
      <c r="B823" t="s">
        <v>1673</v>
      </c>
      <c r="C823" t="str">
        <f>"70.91"</f>
        <v>70.91</v>
      </c>
      <c r="D823" t="s">
        <v>2272</v>
      </c>
    </row>
    <row r="824" spans="1:4" x14ac:dyDescent="0.55000000000000004">
      <c r="A824" t="s">
        <v>1672</v>
      </c>
      <c r="B824" t="s">
        <v>1673</v>
      </c>
      <c r="C824" t="str">
        <f>"70.92"</f>
        <v>70.92</v>
      </c>
      <c r="D824" t="s">
        <v>2273</v>
      </c>
    </row>
    <row r="825" spans="1:4" x14ac:dyDescent="0.55000000000000004">
      <c r="A825" t="s">
        <v>1672</v>
      </c>
      <c r="B825" t="s">
        <v>1673</v>
      </c>
      <c r="C825" t="str">
        <f>"70.93"</f>
        <v>70.93</v>
      </c>
      <c r="D825" t="s">
        <v>2274</v>
      </c>
    </row>
    <row r="826" spans="1:4" x14ac:dyDescent="0.55000000000000004">
      <c r="A826" t="s">
        <v>1672</v>
      </c>
      <c r="B826" t="s">
        <v>1673</v>
      </c>
      <c r="C826" t="str">
        <f>"71.01"</f>
        <v>71.01</v>
      </c>
      <c r="D826" t="s">
        <v>2275</v>
      </c>
    </row>
    <row r="827" spans="1:4" x14ac:dyDescent="0.55000000000000004">
      <c r="A827" t="s">
        <v>1672</v>
      </c>
      <c r="B827" t="s">
        <v>1673</v>
      </c>
      <c r="C827" t="str">
        <f>"71.09"</f>
        <v>71.09</v>
      </c>
      <c r="D827" t="s">
        <v>2276</v>
      </c>
    </row>
    <row r="828" spans="1:4" x14ac:dyDescent="0.55000000000000004">
      <c r="A828" t="s">
        <v>1672</v>
      </c>
      <c r="B828" t="s">
        <v>1673</v>
      </c>
      <c r="C828" t="str">
        <f>"71.3"</f>
        <v>71.3</v>
      </c>
      <c r="D828" t="s">
        <v>2277</v>
      </c>
    </row>
    <row r="829" spans="1:4" x14ac:dyDescent="0.55000000000000004">
      <c r="A829" t="s">
        <v>1672</v>
      </c>
      <c r="B829" t="s">
        <v>1673</v>
      </c>
      <c r="C829" t="str">
        <f>"71.5"</f>
        <v>71.5</v>
      </c>
      <c r="D829" t="s">
        <v>2278</v>
      </c>
    </row>
    <row r="830" spans="1:4" x14ac:dyDescent="0.55000000000000004">
      <c r="A830" t="s">
        <v>1672</v>
      </c>
      <c r="B830" t="s">
        <v>1673</v>
      </c>
      <c r="C830" t="str">
        <f>"71.61"</f>
        <v>71.61</v>
      </c>
      <c r="D830" t="s">
        <v>2279</v>
      </c>
    </row>
    <row r="831" spans="1:4" x14ac:dyDescent="0.55000000000000004">
      <c r="A831" t="s">
        <v>1672</v>
      </c>
      <c r="B831" t="s">
        <v>1673</v>
      </c>
      <c r="C831" t="str">
        <f>"71.62"</f>
        <v>71.62</v>
      </c>
      <c r="D831" t="s">
        <v>2280</v>
      </c>
    </row>
    <row r="832" spans="1:4" x14ac:dyDescent="0.55000000000000004">
      <c r="A832" t="s">
        <v>1672</v>
      </c>
      <c r="B832" t="s">
        <v>1673</v>
      </c>
      <c r="C832" t="str">
        <f>"71.71"</f>
        <v>71.71</v>
      </c>
      <c r="D832" t="s">
        <v>2281</v>
      </c>
    </row>
    <row r="833" spans="1:4" x14ac:dyDescent="0.55000000000000004">
      <c r="A833" t="s">
        <v>1672</v>
      </c>
      <c r="B833" t="s">
        <v>1673</v>
      </c>
      <c r="C833" t="str">
        <f>"71.72"</f>
        <v>71.72</v>
      </c>
      <c r="D833" t="s">
        <v>2282</v>
      </c>
    </row>
    <row r="834" spans="1:4" x14ac:dyDescent="0.55000000000000004">
      <c r="A834" t="s">
        <v>1672</v>
      </c>
      <c r="B834" t="s">
        <v>1673</v>
      </c>
      <c r="C834" t="str">
        <f>"71.79"</f>
        <v>71.79</v>
      </c>
      <c r="D834" t="s">
        <v>2283</v>
      </c>
    </row>
    <row r="835" spans="1:4" x14ac:dyDescent="0.55000000000000004">
      <c r="A835" t="s">
        <v>1672</v>
      </c>
      <c r="B835" t="s">
        <v>1673</v>
      </c>
      <c r="C835" t="str">
        <f>"71.8"</f>
        <v>71.8</v>
      </c>
      <c r="D835" t="s">
        <v>2284</v>
      </c>
    </row>
    <row r="836" spans="1:4" x14ac:dyDescent="0.55000000000000004">
      <c r="A836" t="s">
        <v>1672</v>
      </c>
      <c r="B836" t="s">
        <v>1673</v>
      </c>
      <c r="C836" t="str">
        <f>"71.9"</f>
        <v>71.9</v>
      </c>
      <c r="D836" t="s">
        <v>2285</v>
      </c>
    </row>
    <row r="837" spans="1:4" x14ac:dyDescent="0.55000000000000004">
      <c r="A837" t="s">
        <v>1672</v>
      </c>
      <c r="B837" t="s">
        <v>1673</v>
      </c>
      <c r="C837" t="str">
        <f>"87.53"</f>
        <v>87.53</v>
      </c>
      <c r="D837" t="s">
        <v>2286</v>
      </c>
    </row>
    <row r="838" spans="1:4" x14ac:dyDescent="0.55000000000000004">
      <c r="A838" t="s">
        <v>1672</v>
      </c>
      <c r="B838" t="s">
        <v>1673</v>
      </c>
      <c r="C838" t="str">
        <f>"87.74"</f>
        <v>87.74</v>
      </c>
      <c r="D838" t="s">
        <v>2287</v>
      </c>
    </row>
    <row r="839" spans="1:4" x14ac:dyDescent="0.55000000000000004">
      <c r="A839" t="s">
        <v>2288</v>
      </c>
      <c r="B839" t="s">
        <v>2289</v>
      </c>
      <c r="C839" t="str">
        <f>"03.01"</f>
        <v>03.01</v>
      </c>
      <c r="D839" t="s">
        <v>2290</v>
      </c>
    </row>
    <row r="840" spans="1:4" x14ac:dyDescent="0.55000000000000004">
      <c r="A840" t="s">
        <v>2288</v>
      </c>
      <c r="B840" t="s">
        <v>2289</v>
      </c>
      <c r="C840" t="str">
        <f>"03.02"</f>
        <v>03.02</v>
      </c>
      <c r="D840" t="s">
        <v>2291</v>
      </c>
    </row>
    <row r="841" spans="1:4" x14ac:dyDescent="0.55000000000000004">
      <c r="A841" t="s">
        <v>2288</v>
      </c>
      <c r="B841" t="s">
        <v>2289</v>
      </c>
      <c r="C841" t="str">
        <f>"03.09"</f>
        <v>03.09</v>
      </c>
      <c r="D841" t="s">
        <v>2292</v>
      </c>
    </row>
    <row r="842" spans="1:4" x14ac:dyDescent="0.55000000000000004">
      <c r="A842" t="s">
        <v>2288</v>
      </c>
      <c r="B842" t="s">
        <v>2289</v>
      </c>
      <c r="C842" t="str">
        <f>"03.53"</f>
        <v>03.53</v>
      </c>
      <c r="D842" t="s">
        <v>2293</v>
      </c>
    </row>
    <row r="843" spans="1:4" x14ac:dyDescent="0.55000000000000004">
      <c r="A843" t="s">
        <v>2288</v>
      </c>
      <c r="B843" t="s">
        <v>2289</v>
      </c>
      <c r="C843" t="str">
        <f>"03.59"</f>
        <v>03.59</v>
      </c>
      <c r="D843" t="s">
        <v>2294</v>
      </c>
    </row>
    <row r="844" spans="1:4" x14ac:dyDescent="0.55000000000000004">
      <c r="A844" t="s">
        <v>2288</v>
      </c>
      <c r="B844" t="s">
        <v>2289</v>
      </c>
      <c r="C844" t="str">
        <f>"03.71"</f>
        <v>03.71</v>
      </c>
      <c r="D844" t="s">
        <v>2295</v>
      </c>
    </row>
    <row r="845" spans="1:4" x14ac:dyDescent="0.55000000000000004">
      <c r="A845" t="s">
        <v>2288</v>
      </c>
      <c r="B845" t="s">
        <v>2289</v>
      </c>
      <c r="C845" t="str">
        <f>"03.72"</f>
        <v>03.72</v>
      </c>
      <c r="D845" t="s">
        <v>2296</v>
      </c>
    </row>
    <row r="846" spans="1:4" x14ac:dyDescent="0.55000000000000004">
      <c r="A846" t="s">
        <v>2288</v>
      </c>
      <c r="B846" t="s">
        <v>2289</v>
      </c>
      <c r="C846" t="str">
        <f>"03.79"</f>
        <v>03.79</v>
      </c>
      <c r="D846" t="s">
        <v>2297</v>
      </c>
    </row>
    <row r="847" spans="1:4" x14ac:dyDescent="0.55000000000000004">
      <c r="A847" t="s">
        <v>2288</v>
      </c>
      <c r="B847" t="s">
        <v>2289</v>
      </c>
      <c r="C847" t="str">
        <f>"03.97"</f>
        <v>03.97</v>
      </c>
      <c r="D847" t="s">
        <v>2298</v>
      </c>
    </row>
    <row r="848" spans="1:4" x14ac:dyDescent="0.55000000000000004">
      <c r="A848" t="s">
        <v>2288</v>
      </c>
      <c r="B848" t="s">
        <v>2289</v>
      </c>
      <c r="C848" t="str">
        <f>"03.98"</f>
        <v>03.98</v>
      </c>
      <c r="D848" t="s">
        <v>2299</v>
      </c>
    </row>
    <row r="849" spans="1:4" x14ac:dyDescent="0.55000000000000004">
      <c r="A849" t="s">
        <v>2288</v>
      </c>
      <c r="B849" t="s">
        <v>2289</v>
      </c>
      <c r="C849" t="str">
        <f>"80.50"</f>
        <v>80.50</v>
      </c>
      <c r="D849" t="s">
        <v>2300</v>
      </c>
    </row>
    <row r="850" spans="1:4" x14ac:dyDescent="0.55000000000000004">
      <c r="A850" t="s">
        <v>2288</v>
      </c>
      <c r="B850" t="s">
        <v>2289</v>
      </c>
      <c r="C850" t="str">
        <f>"80.51"</f>
        <v>80.51</v>
      </c>
      <c r="D850" t="s">
        <v>2301</v>
      </c>
    </row>
    <row r="851" spans="1:4" x14ac:dyDescent="0.55000000000000004">
      <c r="A851" t="s">
        <v>2288</v>
      </c>
      <c r="B851" t="s">
        <v>2289</v>
      </c>
      <c r="C851" t="str">
        <f>"80.511"</f>
        <v>80.511</v>
      </c>
      <c r="D851" t="s">
        <v>2302</v>
      </c>
    </row>
    <row r="852" spans="1:4" x14ac:dyDescent="0.55000000000000004">
      <c r="A852" t="s">
        <v>2288</v>
      </c>
      <c r="B852" t="s">
        <v>2289</v>
      </c>
      <c r="C852" t="str">
        <f>"80.55"</f>
        <v>80.55</v>
      </c>
      <c r="D852" t="s">
        <v>2303</v>
      </c>
    </row>
    <row r="853" spans="1:4" x14ac:dyDescent="0.55000000000000004">
      <c r="A853" t="s">
        <v>2288</v>
      </c>
      <c r="B853" t="s">
        <v>2289</v>
      </c>
      <c r="C853" t="str">
        <f>"80.59"</f>
        <v>80.59</v>
      </c>
      <c r="D853" t="s">
        <v>2304</v>
      </c>
    </row>
    <row r="854" spans="1:4" x14ac:dyDescent="0.55000000000000004">
      <c r="A854" t="s">
        <v>2288</v>
      </c>
      <c r="B854" t="s">
        <v>2289</v>
      </c>
      <c r="C854" t="str">
        <f>"81.00"</f>
        <v>81.00</v>
      </c>
      <c r="D854" t="s">
        <v>2305</v>
      </c>
    </row>
    <row r="855" spans="1:4" x14ac:dyDescent="0.55000000000000004">
      <c r="A855" t="s">
        <v>2288</v>
      </c>
      <c r="B855" t="s">
        <v>2289</v>
      </c>
      <c r="C855" t="str">
        <f>"81.01"</f>
        <v>81.01</v>
      </c>
      <c r="D855" t="s">
        <v>2306</v>
      </c>
    </row>
    <row r="856" spans="1:4" x14ac:dyDescent="0.55000000000000004">
      <c r="A856" t="s">
        <v>2288</v>
      </c>
      <c r="B856" t="s">
        <v>2289</v>
      </c>
      <c r="C856" t="str">
        <f>"81.02"</f>
        <v>81.02</v>
      </c>
      <c r="D856" t="s">
        <v>2307</v>
      </c>
    </row>
    <row r="857" spans="1:4" x14ac:dyDescent="0.55000000000000004">
      <c r="A857" t="s">
        <v>2288</v>
      </c>
      <c r="B857" t="s">
        <v>2289</v>
      </c>
      <c r="C857" t="str">
        <f>"81.03"</f>
        <v>81.03</v>
      </c>
      <c r="D857" t="s">
        <v>2308</v>
      </c>
    </row>
    <row r="858" spans="1:4" x14ac:dyDescent="0.55000000000000004">
      <c r="A858" t="s">
        <v>2288</v>
      </c>
      <c r="B858" t="s">
        <v>2289</v>
      </c>
      <c r="C858" t="str">
        <f>"81.04"</f>
        <v>81.04</v>
      </c>
      <c r="D858" t="s">
        <v>2309</v>
      </c>
    </row>
    <row r="859" spans="1:4" x14ac:dyDescent="0.55000000000000004">
      <c r="A859" t="s">
        <v>2288</v>
      </c>
      <c r="B859" t="s">
        <v>2289</v>
      </c>
      <c r="C859" t="str">
        <f>"81.05"</f>
        <v>81.05</v>
      </c>
      <c r="D859" t="s">
        <v>2310</v>
      </c>
    </row>
    <row r="860" spans="1:4" x14ac:dyDescent="0.55000000000000004">
      <c r="A860" t="s">
        <v>2288</v>
      </c>
      <c r="B860" t="s">
        <v>2289</v>
      </c>
      <c r="C860" t="str">
        <f>"81.06"</f>
        <v>81.06</v>
      </c>
      <c r="D860" t="s">
        <v>2311</v>
      </c>
    </row>
    <row r="861" spans="1:4" x14ac:dyDescent="0.55000000000000004">
      <c r="A861" t="s">
        <v>2288</v>
      </c>
      <c r="B861" t="s">
        <v>2289</v>
      </c>
      <c r="C861" t="str">
        <f>"81.07"</f>
        <v>81.07</v>
      </c>
      <c r="D861" t="s">
        <v>2312</v>
      </c>
    </row>
    <row r="862" spans="1:4" x14ac:dyDescent="0.55000000000000004">
      <c r="A862" t="s">
        <v>2288</v>
      </c>
      <c r="B862" t="s">
        <v>2289</v>
      </c>
      <c r="C862" t="str">
        <f>"81.08"</f>
        <v>81.08</v>
      </c>
      <c r="D862" t="s">
        <v>2313</v>
      </c>
    </row>
    <row r="863" spans="1:4" x14ac:dyDescent="0.55000000000000004">
      <c r="A863" t="s">
        <v>2288</v>
      </c>
      <c r="B863" t="s">
        <v>2289</v>
      </c>
      <c r="C863" t="str">
        <f>"81.30"</f>
        <v>81.30</v>
      </c>
      <c r="D863" t="s">
        <v>2314</v>
      </c>
    </row>
    <row r="864" spans="1:4" x14ac:dyDescent="0.55000000000000004">
      <c r="A864" t="s">
        <v>2288</v>
      </c>
      <c r="B864" t="s">
        <v>2289</v>
      </c>
      <c r="C864" t="str">
        <f>"81.31"</f>
        <v>81.31</v>
      </c>
      <c r="D864" t="s">
        <v>2315</v>
      </c>
    </row>
    <row r="865" spans="1:4" x14ac:dyDescent="0.55000000000000004">
      <c r="A865" t="s">
        <v>2288</v>
      </c>
      <c r="B865" t="s">
        <v>2289</v>
      </c>
      <c r="C865" t="str">
        <f>"81.32"</f>
        <v>81.32</v>
      </c>
      <c r="D865" t="s">
        <v>2316</v>
      </c>
    </row>
    <row r="866" spans="1:4" x14ac:dyDescent="0.55000000000000004">
      <c r="A866" t="s">
        <v>2288</v>
      </c>
      <c r="B866" t="s">
        <v>2289</v>
      </c>
      <c r="C866" t="str">
        <f>"81.33"</f>
        <v>81.33</v>
      </c>
      <c r="D866" t="s">
        <v>2317</v>
      </c>
    </row>
    <row r="867" spans="1:4" x14ac:dyDescent="0.55000000000000004">
      <c r="A867" t="s">
        <v>2288</v>
      </c>
      <c r="B867" t="s">
        <v>2289</v>
      </c>
      <c r="C867" t="str">
        <f>"81.34"</f>
        <v>81.34</v>
      </c>
      <c r="D867" t="s">
        <v>2318</v>
      </c>
    </row>
    <row r="868" spans="1:4" x14ac:dyDescent="0.55000000000000004">
      <c r="A868" t="s">
        <v>2288</v>
      </c>
      <c r="B868" t="s">
        <v>2289</v>
      </c>
      <c r="C868" t="str">
        <f>"81.35"</f>
        <v>81.35</v>
      </c>
      <c r="D868" t="s">
        <v>2319</v>
      </c>
    </row>
    <row r="869" spans="1:4" x14ac:dyDescent="0.55000000000000004">
      <c r="A869" t="s">
        <v>2288</v>
      </c>
      <c r="B869" t="s">
        <v>2289</v>
      </c>
      <c r="C869" t="str">
        <f>"81.36"</f>
        <v>81.36</v>
      </c>
      <c r="D869" t="s">
        <v>2320</v>
      </c>
    </row>
    <row r="870" spans="1:4" x14ac:dyDescent="0.55000000000000004">
      <c r="A870" t="s">
        <v>2288</v>
      </c>
      <c r="B870" t="s">
        <v>2289</v>
      </c>
      <c r="C870" t="str">
        <f>"81.37"</f>
        <v>81.37</v>
      </c>
      <c r="D870" t="s">
        <v>2321</v>
      </c>
    </row>
    <row r="871" spans="1:4" x14ac:dyDescent="0.55000000000000004">
      <c r="A871" t="s">
        <v>2288</v>
      </c>
      <c r="B871" t="s">
        <v>2289</v>
      </c>
      <c r="C871" t="str">
        <f>"81.38"</f>
        <v>81.38</v>
      </c>
      <c r="D871" t="s">
        <v>2322</v>
      </c>
    </row>
    <row r="872" spans="1:4" x14ac:dyDescent="0.55000000000000004">
      <c r="A872" t="s">
        <v>2288</v>
      </c>
      <c r="B872" t="s">
        <v>2289</v>
      </c>
      <c r="C872" t="str">
        <f>"81.39"</f>
        <v>81.39</v>
      </c>
      <c r="D872" t="s">
        <v>2323</v>
      </c>
    </row>
    <row r="873" spans="1:4" x14ac:dyDescent="0.55000000000000004">
      <c r="A873" t="s">
        <v>2288</v>
      </c>
      <c r="B873" t="s">
        <v>2289</v>
      </c>
      <c r="C873" t="str">
        <f>"84.80"</f>
        <v>84.80</v>
      </c>
      <c r="D873" t="s">
        <v>2324</v>
      </c>
    </row>
    <row r="874" spans="1:4" x14ac:dyDescent="0.55000000000000004">
      <c r="A874" t="s">
        <v>2325</v>
      </c>
      <c r="B874" t="s">
        <v>2326</v>
      </c>
      <c r="C874" t="str">
        <f>"38.33"</f>
        <v>38.33</v>
      </c>
      <c r="D874" t="s">
        <v>2327</v>
      </c>
    </row>
    <row r="875" spans="1:4" x14ac:dyDescent="0.55000000000000004">
      <c r="A875" t="s">
        <v>2325</v>
      </c>
      <c r="B875" t="s">
        <v>2326</v>
      </c>
      <c r="C875" t="str">
        <f>"38.43"</f>
        <v>38.43</v>
      </c>
      <c r="D875" t="s">
        <v>2328</v>
      </c>
    </row>
    <row r="876" spans="1:4" x14ac:dyDescent="0.55000000000000004">
      <c r="A876" t="s">
        <v>2325</v>
      </c>
      <c r="B876" t="s">
        <v>2326</v>
      </c>
      <c r="C876" t="str">
        <f>"38.63"</f>
        <v>38.63</v>
      </c>
      <c r="D876" t="s">
        <v>2329</v>
      </c>
    </row>
    <row r="877" spans="1:4" x14ac:dyDescent="0.55000000000000004">
      <c r="A877" t="s">
        <v>2325</v>
      </c>
      <c r="B877" t="s">
        <v>2326</v>
      </c>
      <c r="C877" t="str">
        <f>"38.83"</f>
        <v>38.83</v>
      </c>
      <c r="D877" t="s">
        <v>2330</v>
      </c>
    </row>
    <row r="878" spans="1:4" x14ac:dyDescent="0.55000000000000004">
      <c r="A878" t="s">
        <v>2325</v>
      </c>
      <c r="B878" t="s">
        <v>2326</v>
      </c>
      <c r="C878" t="str">
        <f>"77.22"</f>
        <v>77.22</v>
      </c>
      <c r="D878" t="s">
        <v>2331</v>
      </c>
    </row>
    <row r="879" spans="1:4" x14ac:dyDescent="0.55000000000000004">
      <c r="A879" t="s">
        <v>2325</v>
      </c>
      <c r="B879" t="s">
        <v>2326</v>
      </c>
      <c r="C879" t="str">
        <f>"77.23"</f>
        <v>77.23</v>
      </c>
      <c r="D879" t="s">
        <v>2332</v>
      </c>
    </row>
    <row r="880" spans="1:4" x14ac:dyDescent="0.55000000000000004">
      <c r="A880" t="s">
        <v>2325</v>
      </c>
      <c r="B880" t="s">
        <v>2326</v>
      </c>
      <c r="C880" t="str">
        <f>"77.24"</f>
        <v>77.24</v>
      </c>
      <c r="D880" t="s">
        <v>2333</v>
      </c>
    </row>
    <row r="881" spans="1:4" x14ac:dyDescent="0.55000000000000004">
      <c r="A881" t="s">
        <v>2325</v>
      </c>
      <c r="B881" t="s">
        <v>2326</v>
      </c>
      <c r="C881" t="str">
        <f>"77.32"</f>
        <v>77.32</v>
      </c>
      <c r="D881" t="s">
        <v>2334</v>
      </c>
    </row>
    <row r="882" spans="1:4" x14ac:dyDescent="0.55000000000000004">
      <c r="A882" t="s">
        <v>2325</v>
      </c>
      <c r="B882" t="s">
        <v>2326</v>
      </c>
      <c r="C882" t="str">
        <f>"77.33"</f>
        <v>77.33</v>
      </c>
      <c r="D882" t="s">
        <v>2335</v>
      </c>
    </row>
    <row r="883" spans="1:4" x14ac:dyDescent="0.55000000000000004">
      <c r="A883" t="s">
        <v>2325</v>
      </c>
      <c r="B883" t="s">
        <v>2326</v>
      </c>
      <c r="C883" t="str">
        <f>"77.34"</f>
        <v>77.34</v>
      </c>
      <c r="D883" t="s">
        <v>2336</v>
      </c>
    </row>
    <row r="884" spans="1:4" x14ac:dyDescent="0.55000000000000004">
      <c r="A884" t="s">
        <v>2325</v>
      </c>
      <c r="B884" t="s">
        <v>2326</v>
      </c>
      <c r="C884" t="str">
        <f>"77.72"</f>
        <v>77.72</v>
      </c>
      <c r="D884" t="s">
        <v>2337</v>
      </c>
    </row>
    <row r="885" spans="1:4" x14ac:dyDescent="0.55000000000000004">
      <c r="A885" t="s">
        <v>2325</v>
      </c>
      <c r="B885" t="s">
        <v>2326</v>
      </c>
      <c r="C885" t="str">
        <f>"77.73"</f>
        <v>77.73</v>
      </c>
      <c r="D885" t="s">
        <v>2338</v>
      </c>
    </row>
    <row r="886" spans="1:4" x14ac:dyDescent="0.55000000000000004">
      <c r="A886" t="s">
        <v>2325</v>
      </c>
      <c r="B886" t="s">
        <v>2326</v>
      </c>
      <c r="C886" t="str">
        <f>"77.74"</f>
        <v>77.74</v>
      </c>
      <c r="D886" t="s">
        <v>2339</v>
      </c>
    </row>
    <row r="887" spans="1:4" x14ac:dyDescent="0.55000000000000004">
      <c r="A887" t="s">
        <v>2325</v>
      </c>
      <c r="B887" t="s">
        <v>2326</v>
      </c>
      <c r="C887" t="str">
        <f>"77.82"</f>
        <v>77.82</v>
      </c>
      <c r="D887" t="s">
        <v>2340</v>
      </c>
    </row>
    <row r="888" spans="1:4" x14ac:dyDescent="0.55000000000000004">
      <c r="A888" t="s">
        <v>2325</v>
      </c>
      <c r="B888" t="s">
        <v>2326</v>
      </c>
      <c r="C888" t="str">
        <f>"77.83"</f>
        <v>77.83</v>
      </c>
      <c r="D888" t="s">
        <v>2341</v>
      </c>
    </row>
    <row r="889" spans="1:4" x14ac:dyDescent="0.55000000000000004">
      <c r="A889" t="s">
        <v>2325</v>
      </c>
      <c r="B889" t="s">
        <v>2326</v>
      </c>
      <c r="C889" t="str">
        <f>"77.84"</f>
        <v>77.84</v>
      </c>
      <c r="D889" t="s">
        <v>2342</v>
      </c>
    </row>
    <row r="890" spans="1:4" x14ac:dyDescent="0.55000000000000004">
      <c r="A890" t="s">
        <v>2325</v>
      </c>
      <c r="B890" t="s">
        <v>2326</v>
      </c>
      <c r="C890" t="str">
        <f>"77.92"</f>
        <v>77.92</v>
      </c>
      <c r="D890" t="s">
        <v>2343</v>
      </c>
    </row>
    <row r="891" spans="1:4" x14ac:dyDescent="0.55000000000000004">
      <c r="A891" t="s">
        <v>2325</v>
      </c>
      <c r="B891" t="s">
        <v>2326</v>
      </c>
      <c r="C891" t="str">
        <f>"77.93"</f>
        <v>77.93</v>
      </c>
      <c r="D891" t="s">
        <v>2344</v>
      </c>
    </row>
    <row r="892" spans="1:4" x14ac:dyDescent="0.55000000000000004">
      <c r="A892" t="s">
        <v>2325</v>
      </c>
      <c r="B892" t="s">
        <v>2326</v>
      </c>
      <c r="C892" t="str">
        <f>"77.94"</f>
        <v>77.94</v>
      </c>
      <c r="D892" t="s">
        <v>2345</v>
      </c>
    </row>
    <row r="893" spans="1:4" x14ac:dyDescent="0.55000000000000004">
      <c r="A893" t="s">
        <v>2325</v>
      </c>
      <c r="B893" t="s">
        <v>2326</v>
      </c>
      <c r="C893" t="str">
        <f>"78.02"</f>
        <v>78.02</v>
      </c>
      <c r="D893" t="s">
        <v>2346</v>
      </c>
    </row>
    <row r="894" spans="1:4" x14ac:dyDescent="0.55000000000000004">
      <c r="A894" t="s">
        <v>2325</v>
      </c>
      <c r="B894" t="s">
        <v>2326</v>
      </c>
      <c r="C894" t="str">
        <f>"78.03"</f>
        <v>78.03</v>
      </c>
      <c r="D894" t="s">
        <v>2347</v>
      </c>
    </row>
    <row r="895" spans="1:4" x14ac:dyDescent="0.55000000000000004">
      <c r="A895" t="s">
        <v>2325</v>
      </c>
      <c r="B895" t="s">
        <v>2326</v>
      </c>
      <c r="C895" t="str">
        <f>"78.04"</f>
        <v>78.04</v>
      </c>
      <c r="D895" t="s">
        <v>2348</v>
      </c>
    </row>
    <row r="896" spans="1:4" x14ac:dyDescent="0.55000000000000004">
      <c r="A896" t="s">
        <v>2325</v>
      </c>
      <c r="B896" t="s">
        <v>2326</v>
      </c>
      <c r="C896" t="str">
        <f>"78.13"</f>
        <v>78.13</v>
      </c>
      <c r="D896" t="s">
        <v>2349</v>
      </c>
    </row>
    <row r="897" spans="1:4" x14ac:dyDescent="0.55000000000000004">
      <c r="A897" t="s">
        <v>2325</v>
      </c>
      <c r="B897" t="s">
        <v>2326</v>
      </c>
      <c r="C897" t="str">
        <f>"78.14"</f>
        <v>78.14</v>
      </c>
      <c r="D897" t="s">
        <v>2350</v>
      </c>
    </row>
    <row r="898" spans="1:4" x14ac:dyDescent="0.55000000000000004">
      <c r="A898" t="s">
        <v>2325</v>
      </c>
      <c r="B898" t="s">
        <v>2326</v>
      </c>
      <c r="C898" t="str">
        <f>"78.42"</f>
        <v>78.42</v>
      </c>
      <c r="D898" t="s">
        <v>2351</v>
      </c>
    </row>
    <row r="899" spans="1:4" x14ac:dyDescent="0.55000000000000004">
      <c r="A899" t="s">
        <v>2325</v>
      </c>
      <c r="B899" t="s">
        <v>2326</v>
      </c>
      <c r="C899" t="str">
        <f>"78.43"</f>
        <v>78.43</v>
      </c>
      <c r="D899" t="s">
        <v>2352</v>
      </c>
    </row>
    <row r="900" spans="1:4" x14ac:dyDescent="0.55000000000000004">
      <c r="A900" t="s">
        <v>2325</v>
      </c>
      <c r="B900" t="s">
        <v>2326</v>
      </c>
      <c r="C900" t="str">
        <f>"78.44"</f>
        <v>78.44</v>
      </c>
      <c r="D900" t="s">
        <v>2353</v>
      </c>
    </row>
    <row r="901" spans="1:4" x14ac:dyDescent="0.55000000000000004">
      <c r="A901" t="s">
        <v>2325</v>
      </c>
      <c r="B901" t="s">
        <v>2326</v>
      </c>
      <c r="C901" t="str">
        <f>"78.52"</f>
        <v>78.52</v>
      </c>
      <c r="D901" t="s">
        <v>2354</v>
      </c>
    </row>
    <row r="902" spans="1:4" x14ac:dyDescent="0.55000000000000004">
      <c r="A902" t="s">
        <v>2325</v>
      </c>
      <c r="B902" t="s">
        <v>2326</v>
      </c>
      <c r="C902" t="str">
        <f>"78.53"</f>
        <v>78.53</v>
      </c>
      <c r="D902" t="s">
        <v>2355</v>
      </c>
    </row>
    <row r="903" spans="1:4" x14ac:dyDescent="0.55000000000000004">
      <c r="A903" t="s">
        <v>2325</v>
      </c>
      <c r="B903" t="s">
        <v>2326</v>
      </c>
      <c r="C903" t="str">
        <f>"78.54"</f>
        <v>78.54</v>
      </c>
      <c r="D903" t="s">
        <v>2356</v>
      </c>
    </row>
    <row r="904" spans="1:4" x14ac:dyDescent="0.55000000000000004">
      <c r="A904" t="s">
        <v>2325</v>
      </c>
      <c r="B904" t="s">
        <v>2326</v>
      </c>
      <c r="C904" t="str">
        <f>"78.62"</f>
        <v>78.62</v>
      </c>
      <c r="D904" t="s">
        <v>2357</v>
      </c>
    </row>
    <row r="905" spans="1:4" x14ac:dyDescent="0.55000000000000004">
      <c r="A905" t="s">
        <v>2325</v>
      </c>
      <c r="B905" t="s">
        <v>2326</v>
      </c>
      <c r="C905" t="str">
        <f>"78.63"</f>
        <v>78.63</v>
      </c>
      <c r="D905" t="s">
        <v>2358</v>
      </c>
    </row>
    <row r="906" spans="1:4" x14ac:dyDescent="0.55000000000000004">
      <c r="A906" t="s">
        <v>2325</v>
      </c>
      <c r="B906" t="s">
        <v>2326</v>
      </c>
      <c r="C906" t="str">
        <f>"78.64"</f>
        <v>78.64</v>
      </c>
      <c r="D906" t="s">
        <v>2359</v>
      </c>
    </row>
    <row r="907" spans="1:4" x14ac:dyDescent="0.55000000000000004">
      <c r="A907" t="s">
        <v>2325</v>
      </c>
      <c r="B907" t="s">
        <v>2326</v>
      </c>
      <c r="C907" t="str">
        <f>"78.92"</f>
        <v>78.92</v>
      </c>
      <c r="D907" t="s">
        <v>2360</v>
      </c>
    </row>
    <row r="908" spans="1:4" x14ac:dyDescent="0.55000000000000004">
      <c r="A908" t="s">
        <v>2325</v>
      </c>
      <c r="B908" t="s">
        <v>2326</v>
      </c>
      <c r="C908" t="str">
        <f>"78.93"</f>
        <v>78.93</v>
      </c>
      <c r="D908" t="s">
        <v>2361</v>
      </c>
    </row>
    <row r="909" spans="1:4" x14ac:dyDescent="0.55000000000000004">
      <c r="A909" t="s">
        <v>2325</v>
      </c>
      <c r="B909" t="s">
        <v>2326</v>
      </c>
      <c r="C909" t="str">
        <f>"78.94"</f>
        <v>78.94</v>
      </c>
      <c r="D909" t="s">
        <v>2362</v>
      </c>
    </row>
    <row r="910" spans="1:4" x14ac:dyDescent="0.55000000000000004">
      <c r="A910" t="s">
        <v>2325</v>
      </c>
      <c r="B910" t="s">
        <v>2326</v>
      </c>
      <c r="C910" t="str">
        <f>"79.11"</f>
        <v>79.11</v>
      </c>
      <c r="D910" t="s">
        <v>2363</v>
      </c>
    </row>
    <row r="911" spans="1:4" x14ac:dyDescent="0.55000000000000004">
      <c r="A911" t="s">
        <v>2325</v>
      </c>
      <c r="B911" t="s">
        <v>2326</v>
      </c>
      <c r="C911" t="str">
        <f>"79.12"</f>
        <v>79.12</v>
      </c>
      <c r="D911" t="s">
        <v>2364</v>
      </c>
    </row>
    <row r="912" spans="1:4" x14ac:dyDescent="0.55000000000000004">
      <c r="A912" t="s">
        <v>2325</v>
      </c>
      <c r="B912" t="s">
        <v>2326</v>
      </c>
      <c r="C912" t="str">
        <f>"79.13"</f>
        <v>79.13</v>
      </c>
      <c r="D912" t="s">
        <v>2365</v>
      </c>
    </row>
    <row r="913" spans="1:4" x14ac:dyDescent="0.55000000000000004">
      <c r="A913" t="s">
        <v>2325</v>
      </c>
      <c r="B913" t="s">
        <v>2326</v>
      </c>
      <c r="C913" t="str">
        <f>"79.14"</f>
        <v>79.14</v>
      </c>
      <c r="D913" t="s">
        <v>2366</v>
      </c>
    </row>
    <row r="914" spans="1:4" x14ac:dyDescent="0.55000000000000004">
      <c r="A914" t="s">
        <v>2325</v>
      </c>
      <c r="B914" t="s">
        <v>2326</v>
      </c>
      <c r="C914" t="str">
        <f>"79.21"</f>
        <v>79.21</v>
      </c>
      <c r="D914" t="s">
        <v>2367</v>
      </c>
    </row>
    <row r="915" spans="1:4" x14ac:dyDescent="0.55000000000000004">
      <c r="A915" t="s">
        <v>2325</v>
      </c>
      <c r="B915" t="s">
        <v>2326</v>
      </c>
      <c r="C915" t="str">
        <f>"79.22"</f>
        <v>79.22</v>
      </c>
      <c r="D915" t="s">
        <v>2368</v>
      </c>
    </row>
    <row r="916" spans="1:4" x14ac:dyDescent="0.55000000000000004">
      <c r="A916" t="s">
        <v>2325</v>
      </c>
      <c r="B916" t="s">
        <v>2326</v>
      </c>
      <c r="C916" t="str">
        <f>"79.23"</f>
        <v>79.23</v>
      </c>
      <c r="D916" t="s">
        <v>2369</v>
      </c>
    </row>
    <row r="917" spans="1:4" x14ac:dyDescent="0.55000000000000004">
      <c r="A917" t="s">
        <v>2325</v>
      </c>
      <c r="B917" t="s">
        <v>2326</v>
      </c>
      <c r="C917" t="str">
        <f>"79.24"</f>
        <v>79.24</v>
      </c>
      <c r="D917" t="s">
        <v>2370</v>
      </c>
    </row>
    <row r="918" spans="1:4" x14ac:dyDescent="0.55000000000000004">
      <c r="A918" t="s">
        <v>2325</v>
      </c>
      <c r="B918" t="s">
        <v>2326</v>
      </c>
      <c r="C918" t="str">
        <f>"79.31"</f>
        <v>79.31</v>
      </c>
      <c r="D918" t="s">
        <v>2371</v>
      </c>
    </row>
    <row r="919" spans="1:4" x14ac:dyDescent="0.55000000000000004">
      <c r="A919" t="s">
        <v>2325</v>
      </c>
      <c r="B919" t="s">
        <v>2326</v>
      </c>
      <c r="C919" t="str">
        <f>"79.32"</f>
        <v>79.32</v>
      </c>
      <c r="D919" t="s">
        <v>2372</v>
      </c>
    </row>
    <row r="920" spans="1:4" x14ac:dyDescent="0.55000000000000004">
      <c r="A920" t="s">
        <v>2325</v>
      </c>
      <c r="B920" t="s">
        <v>2326</v>
      </c>
      <c r="C920" t="str">
        <f>"79.33"</f>
        <v>79.33</v>
      </c>
      <c r="D920" t="s">
        <v>2373</v>
      </c>
    </row>
    <row r="921" spans="1:4" x14ac:dyDescent="0.55000000000000004">
      <c r="A921" t="s">
        <v>2325</v>
      </c>
      <c r="B921" t="s">
        <v>2326</v>
      </c>
      <c r="C921" t="str">
        <f>"79.34"</f>
        <v>79.34</v>
      </c>
      <c r="D921" t="s">
        <v>2374</v>
      </c>
    </row>
    <row r="922" spans="1:4" x14ac:dyDescent="0.55000000000000004">
      <c r="A922" t="s">
        <v>2325</v>
      </c>
      <c r="B922" t="s">
        <v>2326</v>
      </c>
      <c r="C922" t="str">
        <f>"79.41"</f>
        <v>79.41</v>
      </c>
      <c r="D922" t="s">
        <v>2375</v>
      </c>
    </row>
    <row r="923" spans="1:4" x14ac:dyDescent="0.55000000000000004">
      <c r="A923" t="s">
        <v>2325</v>
      </c>
      <c r="B923" t="s">
        <v>2326</v>
      </c>
      <c r="C923" t="str">
        <f>"79.42"</f>
        <v>79.42</v>
      </c>
      <c r="D923" t="s">
        <v>2376</v>
      </c>
    </row>
    <row r="924" spans="1:4" x14ac:dyDescent="0.55000000000000004">
      <c r="A924" t="s">
        <v>2325</v>
      </c>
      <c r="B924" t="s">
        <v>2326</v>
      </c>
      <c r="C924" t="str">
        <f>"79.51"</f>
        <v>79.51</v>
      </c>
      <c r="D924" t="s">
        <v>2377</v>
      </c>
    </row>
    <row r="925" spans="1:4" x14ac:dyDescent="0.55000000000000004">
      <c r="A925" t="s">
        <v>2325</v>
      </c>
      <c r="B925" t="s">
        <v>2326</v>
      </c>
      <c r="C925" t="str">
        <f>"79.52"</f>
        <v>79.52</v>
      </c>
      <c r="D925" t="s">
        <v>2378</v>
      </c>
    </row>
    <row r="926" spans="1:4" x14ac:dyDescent="0.55000000000000004">
      <c r="A926" t="s">
        <v>2325</v>
      </c>
      <c r="B926" t="s">
        <v>2326</v>
      </c>
      <c r="C926" t="str">
        <f>"79.55"</f>
        <v>79.55</v>
      </c>
      <c r="D926" t="s">
        <v>2379</v>
      </c>
    </row>
    <row r="927" spans="1:4" x14ac:dyDescent="0.55000000000000004">
      <c r="A927" t="s">
        <v>2325</v>
      </c>
      <c r="B927" t="s">
        <v>2326</v>
      </c>
      <c r="C927" t="str">
        <f>"79.56"</f>
        <v>79.56</v>
      </c>
      <c r="D927" t="s">
        <v>2380</v>
      </c>
    </row>
    <row r="928" spans="1:4" x14ac:dyDescent="0.55000000000000004">
      <c r="A928" t="s">
        <v>2325</v>
      </c>
      <c r="B928" t="s">
        <v>2326</v>
      </c>
      <c r="C928" t="str">
        <f>"79.61"</f>
        <v>79.61</v>
      </c>
      <c r="D928" t="s">
        <v>2381</v>
      </c>
    </row>
    <row r="929" spans="1:4" x14ac:dyDescent="0.55000000000000004">
      <c r="A929" t="s">
        <v>2325</v>
      </c>
      <c r="B929" t="s">
        <v>2326</v>
      </c>
      <c r="C929" t="str">
        <f>"79.62"</f>
        <v>79.62</v>
      </c>
      <c r="D929" t="s">
        <v>2382</v>
      </c>
    </row>
    <row r="930" spans="1:4" x14ac:dyDescent="0.55000000000000004">
      <c r="A930" t="s">
        <v>2325</v>
      </c>
      <c r="B930" t="s">
        <v>2326</v>
      </c>
      <c r="C930" t="str">
        <f>"79.63"</f>
        <v>79.63</v>
      </c>
      <c r="D930" t="s">
        <v>2383</v>
      </c>
    </row>
    <row r="931" spans="1:4" x14ac:dyDescent="0.55000000000000004">
      <c r="A931" t="s">
        <v>2325</v>
      </c>
      <c r="B931" t="s">
        <v>2326</v>
      </c>
      <c r="C931" t="str">
        <f>"79.64"</f>
        <v>79.64</v>
      </c>
      <c r="D931" t="s">
        <v>2384</v>
      </c>
    </row>
    <row r="932" spans="1:4" x14ac:dyDescent="0.55000000000000004">
      <c r="A932" t="s">
        <v>2325</v>
      </c>
      <c r="B932" t="s">
        <v>2326</v>
      </c>
      <c r="C932" t="str">
        <f>"79.81"</f>
        <v>79.81</v>
      </c>
      <c r="D932" t="s">
        <v>2385</v>
      </c>
    </row>
    <row r="933" spans="1:4" x14ac:dyDescent="0.55000000000000004">
      <c r="A933" t="s">
        <v>2325</v>
      </c>
      <c r="B933" t="s">
        <v>2326</v>
      </c>
      <c r="C933" t="str">
        <f>"79.82"</f>
        <v>79.82</v>
      </c>
      <c r="D933" t="s">
        <v>2386</v>
      </c>
    </row>
    <row r="934" spans="1:4" x14ac:dyDescent="0.55000000000000004">
      <c r="A934" t="s">
        <v>2325</v>
      </c>
      <c r="B934" t="s">
        <v>2326</v>
      </c>
      <c r="C934" t="str">
        <f>"79.83"</f>
        <v>79.83</v>
      </c>
      <c r="D934" t="s">
        <v>2387</v>
      </c>
    </row>
    <row r="935" spans="1:4" x14ac:dyDescent="0.55000000000000004">
      <c r="A935" t="s">
        <v>2325</v>
      </c>
      <c r="B935" t="s">
        <v>2326</v>
      </c>
      <c r="C935" t="str">
        <f>"79.84"</f>
        <v>79.84</v>
      </c>
      <c r="D935" t="s">
        <v>2388</v>
      </c>
    </row>
    <row r="936" spans="1:4" x14ac:dyDescent="0.55000000000000004">
      <c r="A936" t="s">
        <v>2325</v>
      </c>
      <c r="B936" t="s">
        <v>2326</v>
      </c>
      <c r="C936" t="str">
        <f>"79.91"</f>
        <v>79.91</v>
      </c>
      <c r="D936" t="s">
        <v>2389</v>
      </c>
    </row>
    <row r="937" spans="1:4" x14ac:dyDescent="0.55000000000000004">
      <c r="A937" t="s">
        <v>2325</v>
      </c>
      <c r="B937" t="s">
        <v>2326</v>
      </c>
      <c r="C937" t="str">
        <f>"79.92"</f>
        <v>79.92</v>
      </c>
      <c r="D937" t="s">
        <v>2390</v>
      </c>
    </row>
    <row r="938" spans="1:4" x14ac:dyDescent="0.55000000000000004">
      <c r="A938" t="s">
        <v>2325</v>
      </c>
      <c r="B938" t="s">
        <v>2326</v>
      </c>
      <c r="C938" t="str">
        <f>"79.93"</f>
        <v>79.93</v>
      </c>
      <c r="D938" t="s">
        <v>2391</v>
      </c>
    </row>
    <row r="939" spans="1:4" x14ac:dyDescent="0.55000000000000004">
      <c r="A939" t="s">
        <v>2325</v>
      </c>
      <c r="B939" t="s">
        <v>2326</v>
      </c>
      <c r="C939" t="str">
        <f>"79.94"</f>
        <v>79.94</v>
      </c>
      <c r="D939" t="s">
        <v>2392</v>
      </c>
    </row>
    <row r="940" spans="1:4" x14ac:dyDescent="0.55000000000000004">
      <c r="A940" t="s">
        <v>2325</v>
      </c>
      <c r="B940" t="s">
        <v>2326</v>
      </c>
      <c r="C940" t="str">
        <f>"80.11"</f>
        <v>80.11</v>
      </c>
      <c r="D940" t="s">
        <v>2393</v>
      </c>
    </row>
    <row r="941" spans="1:4" x14ac:dyDescent="0.55000000000000004">
      <c r="A941" t="s">
        <v>2325</v>
      </c>
      <c r="B941" t="s">
        <v>2326</v>
      </c>
      <c r="C941" t="str">
        <f>"80.12"</f>
        <v>80.12</v>
      </c>
      <c r="D941" t="s">
        <v>2394</v>
      </c>
    </row>
    <row r="942" spans="1:4" x14ac:dyDescent="0.55000000000000004">
      <c r="A942" t="s">
        <v>2325</v>
      </c>
      <c r="B942" t="s">
        <v>2326</v>
      </c>
      <c r="C942" t="str">
        <f>"80.13"</f>
        <v>80.13</v>
      </c>
      <c r="D942" t="s">
        <v>2395</v>
      </c>
    </row>
    <row r="943" spans="1:4" x14ac:dyDescent="0.55000000000000004">
      <c r="A943" t="s">
        <v>2325</v>
      </c>
      <c r="B943" t="s">
        <v>2326</v>
      </c>
      <c r="C943" t="str">
        <f>"80.14"</f>
        <v>80.14</v>
      </c>
      <c r="D943" t="s">
        <v>2396</v>
      </c>
    </row>
    <row r="944" spans="1:4" x14ac:dyDescent="0.55000000000000004">
      <c r="A944" t="s">
        <v>2325</v>
      </c>
      <c r="B944" t="s">
        <v>2326</v>
      </c>
      <c r="C944" t="str">
        <f>"80.21"</f>
        <v>80.21</v>
      </c>
      <c r="D944" t="s">
        <v>2397</v>
      </c>
    </row>
    <row r="945" spans="1:4" x14ac:dyDescent="0.55000000000000004">
      <c r="A945" t="s">
        <v>2325</v>
      </c>
      <c r="B945" t="s">
        <v>2326</v>
      </c>
      <c r="C945" t="str">
        <f>"80.22"</f>
        <v>80.22</v>
      </c>
      <c r="D945" t="s">
        <v>2398</v>
      </c>
    </row>
    <row r="946" spans="1:4" x14ac:dyDescent="0.55000000000000004">
      <c r="A946" t="s">
        <v>2325</v>
      </c>
      <c r="B946" t="s">
        <v>2326</v>
      </c>
      <c r="C946" t="str">
        <f>"80.23"</f>
        <v>80.23</v>
      </c>
      <c r="D946" t="s">
        <v>2399</v>
      </c>
    </row>
    <row r="947" spans="1:4" x14ac:dyDescent="0.55000000000000004">
      <c r="A947" t="s">
        <v>2325</v>
      </c>
      <c r="B947" t="s">
        <v>2326</v>
      </c>
      <c r="C947" t="str">
        <f>"80.24"</f>
        <v>80.24</v>
      </c>
      <c r="D947" t="s">
        <v>2400</v>
      </c>
    </row>
    <row r="948" spans="1:4" x14ac:dyDescent="0.55000000000000004">
      <c r="A948" t="s">
        <v>2325</v>
      </c>
      <c r="B948" t="s">
        <v>2326</v>
      </c>
      <c r="C948" t="str">
        <f>"80.71"</f>
        <v>80.71</v>
      </c>
      <c r="D948" t="s">
        <v>2401</v>
      </c>
    </row>
    <row r="949" spans="1:4" x14ac:dyDescent="0.55000000000000004">
      <c r="A949" t="s">
        <v>2325</v>
      </c>
      <c r="B949" t="s">
        <v>2326</v>
      </c>
      <c r="C949" t="str">
        <f>"80.72"</f>
        <v>80.72</v>
      </c>
      <c r="D949" t="s">
        <v>2402</v>
      </c>
    </row>
    <row r="950" spans="1:4" x14ac:dyDescent="0.55000000000000004">
      <c r="A950" t="s">
        <v>2325</v>
      </c>
      <c r="B950" t="s">
        <v>2326</v>
      </c>
      <c r="C950" t="str">
        <f>"80.73"</f>
        <v>80.73</v>
      </c>
      <c r="D950" t="s">
        <v>2403</v>
      </c>
    </row>
    <row r="951" spans="1:4" x14ac:dyDescent="0.55000000000000004">
      <c r="A951" t="s">
        <v>2325</v>
      </c>
      <c r="B951" t="s">
        <v>2326</v>
      </c>
      <c r="C951" t="str">
        <f>"80.74"</f>
        <v>80.74</v>
      </c>
      <c r="D951" t="s">
        <v>2404</v>
      </c>
    </row>
    <row r="952" spans="1:4" x14ac:dyDescent="0.55000000000000004">
      <c r="A952" t="s">
        <v>2325</v>
      </c>
      <c r="B952" t="s">
        <v>2326</v>
      </c>
      <c r="C952" t="str">
        <f>"80.81"</f>
        <v>80.81</v>
      </c>
      <c r="D952" t="s">
        <v>2405</v>
      </c>
    </row>
    <row r="953" spans="1:4" x14ac:dyDescent="0.55000000000000004">
      <c r="A953" t="s">
        <v>2325</v>
      </c>
      <c r="B953" t="s">
        <v>2326</v>
      </c>
      <c r="C953" t="str">
        <f>"80.82"</f>
        <v>80.82</v>
      </c>
      <c r="D953" t="s">
        <v>2406</v>
      </c>
    </row>
    <row r="954" spans="1:4" x14ac:dyDescent="0.55000000000000004">
      <c r="A954" t="s">
        <v>2325</v>
      </c>
      <c r="B954" t="s">
        <v>2326</v>
      </c>
      <c r="C954" t="str">
        <f>"80.83"</f>
        <v>80.83</v>
      </c>
      <c r="D954" t="s">
        <v>2407</v>
      </c>
    </row>
    <row r="955" spans="1:4" x14ac:dyDescent="0.55000000000000004">
      <c r="A955" t="s">
        <v>2325</v>
      </c>
      <c r="B955" t="s">
        <v>2326</v>
      </c>
      <c r="C955" t="str">
        <f>"80.84"</f>
        <v>80.84</v>
      </c>
      <c r="D955" t="s">
        <v>2408</v>
      </c>
    </row>
    <row r="956" spans="1:4" x14ac:dyDescent="0.55000000000000004">
      <c r="A956" t="s">
        <v>2325</v>
      </c>
      <c r="B956" t="s">
        <v>2326</v>
      </c>
      <c r="C956" t="str">
        <f>"80.91"</f>
        <v>80.91</v>
      </c>
      <c r="D956" t="s">
        <v>2409</v>
      </c>
    </row>
    <row r="957" spans="1:4" x14ac:dyDescent="0.55000000000000004">
      <c r="A957" t="s">
        <v>2325</v>
      </c>
      <c r="B957" t="s">
        <v>2326</v>
      </c>
      <c r="C957" t="str">
        <f>"80.92"</f>
        <v>80.92</v>
      </c>
      <c r="D957" t="s">
        <v>2410</v>
      </c>
    </row>
    <row r="958" spans="1:4" x14ac:dyDescent="0.55000000000000004">
      <c r="A958" t="s">
        <v>2325</v>
      </c>
      <c r="B958" t="s">
        <v>2326</v>
      </c>
      <c r="C958" t="str">
        <f>"80.93"</f>
        <v>80.93</v>
      </c>
      <c r="D958" t="s">
        <v>2411</v>
      </c>
    </row>
    <row r="959" spans="1:4" x14ac:dyDescent="0.55000000000000004">
      <c r="A959" t="s">
        <v>2325</v>
      </c>
      <c r="B959" t="s">
        <v>2326</v>
      </c>
      <c r="C959" t="str">
        <f>"80.94"</f>
        <v>80.94</v>
      </c>
      <c r="D959" t="s">
        <v>2412</v>
      </c>
    </row>
    <row r="960" spans="1:4" x14ac:dyDescent="0.55000000000000004">
      <c r="A960" t="s">
        <v>2325</v>
      </c>
      <c r="B960" t="s">
        <v>2326</v>
      </c>
      <c r="C960" t="str">
        <f>"81.23"</f>
        <v>81.23</v>
      </c>
      <c r="D960" t="s">
        <v>2413</v>
      </c>
    </row>
    <row r="961" spans="1:4" x14ac:dyDescent="0.55000000000000004">
      <c r="A961" t="s">
        <v>2325</v>
      </c>
      <c r="B961" t="s">
        <v>2326</v>
      </c>
      <c r="C961" t="str">
        <f>"81.24"</f>
        <v>81.24</v>
      </c>
      <c r="D961" t="s">
        <v>2414</v>
      </c>
    </row>
    <row r="962" spans="1:4" x14ac:dyDescent="0.55000000000000004">
      <c r="A962" t="s">
        <v>2325</v>
      </c>
      <c r="B962" t="s">
        <v>2326</v>
      </c>
      <c r="C962" t="str">
        <f>"81.25"</f>
        <v>81.25</v>
      </c>
      <c r="D962" t="s">
        <v>2415</v>
      </c>
    </row>
    <row r="963" spans="1:4" x14ac:dyDescent="0.55000000000000004">
      <c r="A963" t="s">
        <v>2325</v>
      </c>
      <c r="B963" t="s">
        <v>2326</v>
      </c>
      <c r="C963" t="str">
        <f>"81.26"</f>
        <v>81.26</v>
      </c>
      <c r="D963" t="s">
        <v>2416</v>
      </c>
    </row>
    <row r="964" spans="1:4" x14ac:dyDescent="0.55000000000000004">
      <c r="A964" t="s">
        <v>2325</v>
      </c>
      <c r="B964" t="s">
        <v>2326</v>
      </c>
      <c r="C964" t="str">
        <f>"81.27"</f>
        <v>81.27</v>
      </c>
      <c r="D964" t="s">
        <v>2417</v>
      </c>
    </row>
    <row r="965" spans="1:4" x14ac:dyDescent="0.55000000000000004">
      <c r="A965" t="s">
        <v>2325</v>
      </c>
      <c r="B965" t="s">
        <v>2326</v>
      </c>
      <c r="C965" t="str">
        <f>"81.28"</f>
        <v>81.28</v>
      </c>
      <c r="D965" t="s">
        <v>2418</v>
      </c>
    </row>
    <row r="966" spans="1:4" x14ac:dyDescent="0.55000000000000004">
      <c r="A966" t="s">
        <v>2325</v>
      </c>
      <c r="B966" t="s">
        <v>2326</v>
      </c>
      <c r="C966" t="str">
        <f>"81.71"</f>
        <v>81.71</v>
      </c>
      <c r="D966" t="s">
        <v>2419</v>
      </c>
    </row>
    <row r="967" spans="1:4" x14ac:dyDescent="0.55000000000000004">
      <c r="A967" t="s">
        <v>2325</v>
      </c>
      <c r="B967" t="s">
        <v>2326</v>
      </c>
      <c r="C967" t="str">
        <f>"81.72"</f>
        <v>81.72</v>
      </c>
      <c r="D967" t="s">
        <v>2420</v>
      </c>
    </row>
    <row r="968" spans="1:4" x14ac:dyDescent="0.55000000000000004">
      <c r="A968" t="s">
        <v>2325</v>
      </c>
      <c r="B968" t="s">
        <v>2326</v>
      </c>
      <c r="C968" t="str">
        <f>"81.73"</f>
        <v>81.73</v>
      </c>
      <c r="D968" t="s">
        <v>2421</v>
      </c>
    </row>
    <row r="969" spans="1:4" x14ac:dyDescent="0.55000000000000004">
      <c r="A969" t="s">
        <v>2325</v>
      </c>
      <c r="B969" t="s">
        <v>2326</v>
      </c>
      <c r="C969" t="str">
        <f>"81.74"</f>
        <v>81.74</v>
      </c>
      <c r="D969" t="s">
        <v>2422</v>
      </c>
    </row>
    <row r="970" spans="1:4" x14ac:dyDescent="0.55000000000000004">
      <c r="A970" t="s">
        <v>2325</v>
      </c>
      <c r="B970" t="s">
        <v>2326</v>
      </c>
      <c r="C970" t="str">
        <f>"81.75"</f>
        <v>81.75</v>
      </c>
      <c r="D970" t="s">
        <v>2423</v>
      </c>
    </row>
    <row r="971" spans="1:4" x14ac:dyDescent="0.55000000000000004">
      <c r="A971" t="s">
        <v>2325</v>
      </c>
      <c r="B971" t="s">
        <v>2326</v>
      </c>
      <c r="C971" t="str">
        <f>"81.79"</f>
        <v>81.79</v>
      </c>
      <c r="D971" t="s">
        <v>2424</v>
      </c>
    </row>
    <row r="972" spans="1:4" x14ac:dyDescent="0.55000000000000004">
      <c r="A972" t="s">
        <v>2325</v>
      </c>
      <c r="B972" t="s">
        <v>2326</v>
      </c>
      <c r="C972" t="str">
        <f>"81.80"</f>
        <v>81.80</v>
      </c>
      <c r="D972" t="s">
        <v>2425</v>
      </c>
    </row>
    <row r="973" spans="1:4" x14ac:dyDescent="0.55000000000000004">
      <c r="A973" t="s">
        <v>2325</v>
      </c>
      <c r="B973" t="s">
        <v>2326</v>
      </c>
      <c r="C973" t="str">
        <f>"81.81"</f>
        <v>81.81</v>
      </c>
      <c r="D973" t="s">
        <v>2426</v>
      </c>
    </row>
    <row r="974" spans="1:4" x14ac:dyDescent="0.55000000000000004">
      <c r="A974" t="s">
        <v>2325</v>
      </c>
      <c r="B974" t="s">
        <v>2326</v>
      </c>
      <c r="C974" t="str">
        <f>"81.83"</f>
        <v>81.83</v>
      </c>
      <c r="D974" t="s">
        <v>2427</v>
      </c>
    </row>
    <row r="975" spans="1:4" x14ac:dyDescent="0.55000000000000004">
      <c r="A975" t="s">
        <v>2325</v>
      </c>
      <c r="B975" t="s">
        <v>2326</v>
      </c>
      <c r="C975" t="str">
        <f>"81.84"</f>
        <v>81.84</v>
      </c>
      <c r="D975" t="s">
        <v>2428</v>
      </c>
    </row>
    <row r="976" spans="1:4" x14ac:dyDescent="0.55000000000000004">
      <c r="A976" t="s">
        <v>2325</v>
      </c>
      <c r="B976" t="s">
        <v>2326</v>
      </c>
      <c r="C976" t="str">
        <f>"81.85"</f>
        <v>81.85</v>
      </c>
      <c r="D976" t="s">
        <v>2429</v>
      </c>
    </row>
    <row r="977" spans="1:4" x14ac:dyDescent="0.55000000000000004">
      <c r="A977" t="s">
        <v>2325</v>
      </c>
      <c r="B977" t="s">
        <v>2326</v>
      </c>
      <c r="C977" t="str">
        <f>"81.88"</f>
        <v>81.88</v>
      </c>
      <c r="D977" t="s">
        <v>2430</v>
      </c>
    </row>
    <row r="978" spans="1:4" x14ac:dyDescent="0.55000000000000004">
      <c r="A978" t="s">
        <v>2325</v>
      </c>
      <c r="B978" t="s">
        <v>2326</v>
      </c>
      <c r="C978" t="str">
        <f>"81.93"</f>
        <v>81.93</v>
      </c>
      <c r="D978" t="s">
        <v>2431</v>
      </c>
    </row>
    <row r="979" spans="1:4" x14ac:dyDescent="0.55000000000000004">
      <c r="A979" t="s">
        <v>2325</v>
      </c>
      <c r="B979" t="s">
        <v>2326</v>
      </c>
      <c r="C979" t="str">
        <f>"81.97"</f>
        <v>81.97</v>
      </c>
      <c r="D979" t="s">
        <v>2432</v>
      </c>
    </row>
    <row r="980" spans="1:4" x14ac:dyDescent="0.55000000000000004">
      <c r="A980" t="s">
        <v>2325</v>
      </c>
      <c r="B980" t="s">
        <v>2326</v>
      </c>
      <c r="C980" t="str">
        <f>"82.01"</f>
        <v>82.01</v>
      </c>
      <c r="D980" t="s">
        <v>2433</v>
      </c>
    </row>
    <row r="981" spans="1:4" x14ac:dyDescent="0.55000000000000004">
      <c r="A981" t="s">
        <v>2325</v>
      </c>
      <c r="B981" t="s">
        <v>2326</v>
      </c>
      <c r="C981" t="str">
        <f>"82.02"</f>
        <v>82.02</v>
      </c>
      <c r="D981" t="s">
        <v>2434</v>
      </c>
    </row>
    <row r="982" spans="1:4" x14ac:dyDescent="0.55000000000000004">
      <c r="A982" t="s">
        <v>2325</v>
      </c>
      <c r="B982" t="s">
        <v>2326</v>
      </c>
      <c r="C982" t="str">
        <f>"82.03"</f>
        <v>82.03</v>
      </c>
      <c r="D982" t="s">
        <v>2435</v>
      </c>
    </row>
    <row r="983" spans="1:4" x14ac:dyDescent="0.55000000000000004">
      <c r="A983" t="s">
        <v>2325</v>
      </c>
      <c r="B983" t="s">
        <v>2326</v>
      </c>
      <c r="C983" t="str">
        <f>"82.09"</f>
        <v>82.09</v>
      </c>
      <c r="D983" t="s">
        <v>2436</v>
      </c>
    </row>
    <row r="984" spans="1:4" x14ac:dyDescent="0.55000000000000004">
      <c r="A984" t="s">
        <v>2325</v>
      </c>
      <c r="B984" t="s">
        <v>2326</v>
      </c>
      <c r="C984" t="str">
        <f>"82.11"</f>
        <v>82.11</v>
      </c>
      <c r="D984" t="s">
        <v>2437</v>
      </c>
    </row>
    <row r="985" spans="1:4" x14ac:dyDescent="0.55000000000000004">
      <c r="A985" t="s">
        <v>2325</v>
      </c>
      <c r="B985" t="s">
        <v>2326</v>
      </c>
      <c r="C985" t="str">
        <f>"82.12"</f>
        <v>82.12</v>
      </c>
      <c r="D985" t="s">
        <v>2438</v>
      </c>
    </row>
    <row r="986" spans="1:4" x14ac:dyDescent="0.55000000000000004">
      <c r="A986" t="s">
        <v>2325</v>
      </c>
      <c r="B986" t="s">
        <v>2326</v>
      </c>
      <c r="C986" t="str">
        <f>"82.19"</f>
        <v>82.19</v>
      </c>
      <c r="D986" t="s">
        <v>2439</v>
      </c>
    </row>
    <row r="987" spans="1:4" x14ac:dyDescent="0.55000000000000004">
      <c r="A987" t="s">
        <v>2325</v>
      </c>
      <c r="B987" t="s">
        <v>2326</v>
      </c>
      <c r="C987" t="str">
        <f>"82.21"</f>
        <v>82.21</v>
      </c>
      <c r="D987" t="s">
        <v>2440</v>
      </c>
    </row>
    <row r="988" spans="1:4" x14ac:dyDescent="0.55000000000000004">
      <c r="A988" t="s">
        <v>2325</v>
      </c>
      <c r="B988" t="s">
        <v>2326</v>
      </c>
      <c r="C988" t="str">
        <f>"82.22"</f>
        <v>82.22</v>
      </c>
      <c r="D988" t="s">
        <v>2441</v>
      </c>
    </row>
    <row r="989" spans="1:4" x14ac:dyDescent="0.55000000000000004">
      <c r="A989" t="s">
        <v>2325</v>
      </c>
      <c r="B989" t="s">
        <v>2326</v>
      </c>
      <c r="C989" t="str">
        <f>"82.29"</f>
        <v>82.29</v>
      </c>
      <c r="D989" t="s">
        <v>2442</v>
      </c>
    </row>
    <row r="990" spans="1:4" x14ac:dyDescent="0.55000000000000004">
      <c r="A990" t="s">
        <v>2325</v>
      </c>
      <c r="B990" t="s">
        <v>2326</v>
      </c>
      <c r="C990" t="str">
        <f>"82.31"</f>
        <v>82.31</v>
      </c>
      <c r="D990" t="s">
        <v>2443</v>
      </c>
    </row>
    <row r="991" spans="1:4" x14ac:dyDescent="0.55000000000000004">
      <c r="A991" t="s">
        <v>2325</v>
      </c>
      <c r="B991" t="s">
        <v>2326</v>
      </c>
      <c r="C991" t="str">
        <f>"82.32"</f>
        <v>82.32</v>
      </c>
      <c r="D991" t="s">
        <v>2444</v>
      </c>
    </row>
    <row r="992" spans="1:4" x14ac:dyDescent="0.55000000000000004">
      <c r="A992" t="s">
        <v>2325</v>
      </c>
      <c r="B992" t="s">
        <v>2326</v>
      </c>
      <c r="C992" t="str">
        <f>"82.33"</f>
        <v>82.33</v>
      </c>
      <c r="D992" t="s">
        <v>2445</v>
      </c>
    </row>
    <row r="993" spans="1:4" x14ac:dyDescent="0.55000000000000004">
      <c r="A993" t="s">
        <v>2325</v>
      </c>
      <c r="B993" t="s">
        <v>2326</v>
      </c>
      <c r="C993" t="str">
        <f>"82.34"</f>
        <v>82.34</v>
      </c>
      <c r="D993" t="s">
        <v>2446</v>
      </c>
    </row>
    <row r="994" spans="1:4" x14ac:dyDescent="0.55000000000000004">
      <c r="A994" t="s">
        <v>2325</v>
      </c>
      <c r="B994" t="s">
        <v>2326</v>
      </c>
      <c r="C994" t="str">
        <f>"82.35"</f>
        <v>82.35</v>
      </c>
      <c r="D994" t="s">
        <v>2447</v>
      </c>
    </row>
    <row r="995" spans="1:4" x14ac:dyDescent="0.55000000000000004">
      <c r="A995" t="s">
        <v>2325</v>
      </c>
      <c r="B995" t="s">
        <v>2326</v>
      </c>
      <c r="C995" t="str">
        <f>"82.36"</f>
        <v>82.36</v>
      </c>
      <c r="D995" t="s">
        <v>2448</v>
      </c>
    </row>
    <row r="996" spans="1:4" x14ac:dyDescent="0.55000000000000004">
      <c r="A996" t="s">
        <v>2325</v>
      </c>
      <c r="B996" t="s">
        <v>2326</v>
      </c>
      <c r="C996" t="str">
        <f>"82.39"</f>
        <v>82.39</v>
      </c>
      <c r="D996" t="s">
        <v>2449</v>
      </c>
    </row>
    <row r="997" spans="1:4" x14ac:dyDescent="0.55000000000000004">
      <c r="A997" t="s">
        <v>2325</v>
      </c>
      <c r="B997" t="s">
        <v>2326</v>
      </c>
      <c r="C997" t="str">
        <f>"82.41"</f>
        <v>82.41</v>
      </c>
      <c r="D997" t="s">
        <v>2450</v>
      </c>
    </row>
    <row r="998" spans="1:4" x14ac:dyDescent="0.55000000000000004">
      <c r="A998" t="s">
        <v>2325</v>
      </c>
      <c r="B998" t="s">
        <v>2326</v>
      </c>
      <c r="C998" t="str">
        <f>"82.42"</f>
        <v>82.42</v>
      </c>
      <c r="D998" t="s">
        <v>2451</v>
      </c>
    </row>
    <row r="999" spans="1:4" x14ac:dyDescent="0.55000000000000004">
      <c r="A999" t="s">
        <v>2325</v>
      </c>
      <c r="B999" t="s">
        <v>2326</v>
      </c>
      <c r="C999" t="str">
        <f>"82.43"</f>
        <v>82.43</v>
      </c>
      <c r="D999" t="s">
        <v>2452</v>
      </c>
    </row>
    <row r="1000" spans="1:4" x14ac:dyDescent="0.55000000000000004">
      <c r="A1000" t="s">
        <v>2325</v>
      </c>
      <c r="B1000" t="s">
        <v>2326</v>
      </c>
      <c r="C1000" t="str">
        <f>"82.44"</f>
        <v>82.44</v>
      </c>
      <c r="D1000" t="s">
        <v>2453</v>
      </c>
    </row>
    <row r="1001" spans="1:4" x14ac:dyDescent="0.55000000000000004">
      <c r="A1001" t="s">
        <v>2325</v>
      </c>
      <c r="B1001" t="s">
        <v>2326</v>
      </c>
      <c r="C1001" t="str">
        <f>"82.45"</f>
        <v>82.45</v>
      </c>
      <c r="D1001" t="s">
        <v>2454</v>
      </c>
    </row>
    <row r="1002" spans="1:4" x14ac:dyDescent="0.55000000000000004">
      <c r="A1002" t="s">
        <v>2325</v>
      </c>
      <c r="B1002" t="s">
        <v>2326</v>
      </c>
      <c r="C1002" t="str">
        <f>"82.46"</f>
        <v>82.46</v>
      </c>
      <c r="D1002" t="s">
        <v>2455</v>
      </c>
    </row>
    <row r="1003" spans="1:4" x14ac:dyDescent="0.55000000000000004">
      <c r="A1003" t="s">
        <v>2325</v>
      </c>
      <c r="B1003" t="s">
        <v>2326</v>
      </c>
      <c r="C1003" t="str">
        <f>"82.51"</f>
        <v>82.51</v>
      </c>
      <c r="D1003" t="s">
        <v>2456</v>
      </c>
    </row>
    <row r="1004" spans="1:4" x14ac:dyDescent="0.55000000000000004">
      <c r="A1004" t="s">
        <v>2325</v>
      </c>
      <c r="B1004" t="s">
        <v>2326</v>
      </c>
      <c r="C1004" t="str">
        <f>"82.52"</f>
        <v>82.52</v>
      </c>
      <c r="D1004" t="s">
        <v>2457</v>
      </c>
    </row>
    <row r="1005" spans="1:4" x14ac:dyDescent="0.55000000000000004">
      <c r="A1005" t="s">
        <v>2325</v>
      </c>
      <c r="B1005" t="s">
        <v>2326</v>
      </c>
      <c r="C1005" t="str">
        <f>"82.53"</f>
        <v>82.53</v>
      </c>
      <c r="D1005" t="s">
        <v>2458</v>
      </c>
    </row>
    <row r="1006" spans="1:4" x14ac:dyDescent="0.55000000000000004">
      <c r="A1006" t="s">
        <v>2325</v>
      </c>
      <c r="B1006" t="s">
        <v>2326</v>
      </c>
      <c r="C1006" t="str">
        <f>"82.54"</f>
        <v>82.54</v>
      </c>
      <c r="D1006" t="s">
        <v>2459</v>
      </c>
    </row>
    <row r="1007" spans="1:4" x14ac:dyDescent="0.55000000000000004">
      <c r="A1007" t="s">
        <v>2325</v>
      </c>
      <c r="B1007" t="s">
        <v>2326</v>
      </c>
      <c r="C1007" t="str">
        <f>"82.55"</f>
        <v>82.55</v>
      </c>
      <c r="D1007" t="s">
        <v>2460</v>
      </c>
    </row>
    <row r="1008" spans="1:4" x14ac:dyDescent="0.55000000000000004">
      <c r="A1008" t="s">
        <v>2325</v>
      </c>
      <c r="B1008" t="s">
        <v>2326</v>
      </c>
      <c r="C1008" t="str">
        <f>"82.56"</f>
        <v>82.56</v>
      </c>
      <c r="D1008" t="s">
        <v>2461</v>
      </c>
    </row>
    <row r="1009" spans="1:4" x14ac:dyDescent="0.55000000000000004">
      <c r="A1009" t="s">
        <v>2325</v>
      </c>
      <c r="B1009" t="s">
        <v>2326</v>
      </c>
      <c r="C1009" t="str">
        <f>"82.57"</f>
        <v>82.57</v>
      </c>
      <c r="D1009" t="s">
        <v>2462</v>
      </c>
    </row>
    <row r="1010" spans="1:4" x14ac:dyDescent="0.55000000000000004">
      <c r="A1010" t="s">
        <v>2325</v>
      </c>
      <c r="B1010" t="s">
        <v>2326</v>
      </c>
      <c r="C1010" t="str">
        <f>"82.58"</f>
        <v>82.58</v>
      </c>
      <c r="D1010" t="s">
        <v>2463</v>
      </c>
    </row>
    <row r="1011" spans="1:4" x14ac:dyDescent="0.55000000000000004">
      <c r="A1011" t="s">
        <v>2325</v>
      </c>
      <c r="B1011" t="s">
        <v>2326</v>
      </c>
      <c r="C1011" t="str">
        <f>"82.59"</f>
        <v>82.59</v>
      </c>
      <c r="D1011" t="s">
        <v>2464</v>
      </c>
    </row>
    <row r="1012" spans="1:4" x14ac:dyDescent="0.55000000000000004">
      <c r="A1012" t="s">
        <v>2325</v>
      </c>
      <c r="B1012" t="s">
        <v>2326</v>
      </c>
      <c r="C1012" t="str">
        <f>"82.61"</f>
        <v>82.61</v>
      </c>
      <c r="D1012" t="s">
        <v>2465</v>
      </c>
    </row>
    <row r="1013" spans="1:4" x14ac:dyDescent="0.55000000000000004">
      <c r="A1013" t="s">
        <v>2325</v>
      </c>
      <c r="B1013" t="s">
        <v>2326</v>
      </c>
      <c r="C1013" t="str">
        <f>"82.69"</f>
        <v>82.69</v>
      </c>
      <c r="D1013" t="s">
        <v>2466</v>
      </c>
    </row>
    <row r="1014" spans="1:4" x14ac:dyDescent="0.55000000000000004">
      <c r="A1014" t="s">
        <v>2325</v>
      </c>
      <c r="B1014" t="s">
        <v>2326</v>
      </c>
      <c r="C1014" t="str">
        <f>"82.71"</f>
        <v>82.71</v>
      </c>
      <c r="D1014" t="s">
        <v>2467</v>
      </c>
    </row>
    <row r="1015" spans="1:4" x14ac:dyDescent="0.55000000000000004">
      <c r="A1015" t="s">
        <v>2325</v>
      </c>
      <c r="B1015" t="s">
        <v>2326</v>
      </c>
      <c r="C1015" t="str">
        <f>"82.72"</f>
        <v>82.72</v>
      </c>
      <c r="D1015" t="s">
        <v>2468</v>
      </c>
    </row>
    <row r="1016" spans="1:4" x14ac:dyDescent="0.55000000000000004">
      <c r="A1016" t="s">
        <v>2325</v>
      </c>
      <c r="B1016" t="s">
        <v>2326</v>
      </c>
      <c r="C1016" t="str">
        <f>"82.79"</f>
        <v>82.79</v>
      </c>
      <c r="D1016" t="s">
        <v>2469</v>
      </c>
    </row>
    <row r="1017" spans="1:4" x14ac:dyDescent="0.55000000000000004">
      <c r="A1017" t="s">
        <v>2325</v>
      </c>
      <c r="B1017" t="s">
        <v>2326</v>
      </c>
      <c r="C1017" t="str">
        <f>"82.81"</f>
        <v>82.81</v>
      </c>
      <c r="D1017" t="s">
        <v>2470</v>
      </c>
    </row>
    <row r="1018" spans="1:4" x14ac:dyDescent="0.55000000000000004">
      <c r="A1018" t="s">
        <v>2325</v>
      </c>
      <c r="B1018" t="s">
        <v>2326</v>
      </c>
      <c r="C1018" t="str">
        <f>"82.85"</f>
        <v>82.85</v>
      </c>
      <c r="D1018" t="s">
        <v>2471</v>
      </c>
    </row>
    <row r="1019" spans="1:4" x14ac:dyDescent="0.55000000000000004">
      <c r="A1019" t="s">
        <v>2325</v>
      </c>
      <c r="B1019" t="s">
        <v>2326</v>
      </c>
      <c r="C1019" t="str">
        <f>"82.86"</f>
        <v>82.86</v>
      </c>
      <c r="D1019" t="s">
        <v>2472</v>
      </c>
    </row>
    <row r="1020" spans="1:4" x14ac:dyDescent="0.55000000000000004">
      <c r="A1020" t="s">
        <v>2325</v>
      </c>
      <c r="B1020" t="s">
        <v>2326</v>
      </c>
      <c r="C1020" t="str">
        <f>"82.89"</f>
        <v>82.89</v>
      </c>
      <c r="D1020" t="s">
        <v>2473</v>
      </c>
    </row>
    <row r="1021" spans="1:4" x14ac:dyDescent="0.55000000000000004">
      <c r="A1021" t="s">
        <v>2325</v>
      </c>
      <c r="B1021" t="s">
        <v>2326</v>
      </c>
      <c r="C1021" t="str">
        <f>"82.91"</f>
        <v>82.91</v>
      </c>
      <c r="D1021" t="s">
        <v>2474</v>
      </c>
    </row>
    <row r="1022" spans="1:4" x14ac:dyDescent="0.55000000000000004">
      <c r="A1022" t="s">
        <v>2325</v>
      </c>
      <c r="B1022" t="s">
        <v>2326</v>
      </c>
      <c r="C1022" t="str">
        <f>"82.99"</f>
        <v>82.99</v>
      </c>
      <c r="D1022" t="s">
        <v>2475</v>
      </c>
    </row>
    <row r="1023" spans="1:4" x14ac:dyDescent="0.55000000000000004">
      <c r="A1023" t="s">
        <v>2325</v>
      </c>
      <c r="B1023" t="s">
        <v>2326</v>
      </c>
      <c r="C1023" t="str">
        <f>"83.63"</f>
        <v>83.63</v>
      </c>
      <c r="D1023" t="s">
        <v>2476</v>
      </c>
    </row>
    <row r="1024" spans="1:4" x14ac:dyDescent="0.55000000000000004">
      <c r="A1024" t="s">
        <v>2325</v>
      </c>
      <c r="B1024" t="s">
        <v>2326</v>
      </c>
      <c r="C1024" t="str">
        <f>"84.00"</f>
        <v>84.00</v>
      </c>
      <c r="D1024" t="s">
        <v>2477</v>
      </c>
    </row>
    <row r="1025" spans="1:4" x14ac:dyDescent="0.55000000000000004">
      <c r="A1025" t="s">
        <v>2325</v>
      </c>
      <c r="B1025" t="s">
        <v>2326</v>
      </c>
      <c r="C1025" t="str">
        <f>"84.01"</f>
        <v>84.01</v>
      </c>
      <c r="D1025" t="s">
        <v>2478</v>
      </c>
    </row>
    <row r="1026" spans="1:4" x14ac:dyDescent="0.55000000000000004">
      <c r="A1026" t="s">
        <v>2325</v>
      </c>
      <c r="B1026" t="s">
        <v>2326</v>
      </c>
      <c r="C1026" t="str">
        <f>"84.02"</f>
        <v>84.02</v>
      </c>
      <c r="D1026" t="s">
        <v>2479</v>
      </c>
    </row>
    <row r="1027" spans="1:4" x14ac:dyDescent="0.55000000000000004">
      <c r="A1027" t="s">
        <v>2325</v>
      </c>
      <c r="B1027" t="s">
        <v>2326</v>
      </c>
      <c r="C1027" t="str">
        <f>"84.03"</f>
        <v>84.03</v>
      </c>
      <c r="D1027" t="s">
        <v>2480</v>
      </c>
    </row>
    <row r="1028" spans="1:4" x14ac:dyDescent="0.55000000000000004">
      <c r="A1028" t="s">
        <v>2325</v>
      </c>
      <c r="B1028" t="s">
        <v>2326</v>
      </c>
      <c r="C1028" t="str">
        <f>"84.04"</f>
        <v>84.04</v>
      </c>
      <c r="D1028" t="s">
        <v>2481</v>
      </c>
    </row>
    <row r="1029" spans="1:4" x14ac:dyDescent="0.55000000000000004">
      <c r="A1029" t="s">
        <v>2325</v>
      </c>
      <c r="B1029" t="s">
        <v>2326</v>
      </c>
      <c r="C1029" t="str">
        <f>"84.05"</f>
        <v>84.05</v>
      </c>
      <c r="D1029" t="s">
        <v>2482</v>
      </c>
    </row>
    <row r="1030" spans="1:4" x14ac:dyDescent="0.55000000000000004">
      <c r="A1030" t="s">
        <v>2325</v>
      </c>
      <c r="B1030" t="s">
        <v>2326</v>
      </c>
      <c r="C1030" t="str">
        <f>"84.06"</f>
        <v>84.06</v>
      </c>
      <c r="D1030" t="s">
        <v>2483</v>
      </c>
    </row>
    <row r="1031" spans="1:4" x14ac:dyDescent="0.55000000000000004">
      <c r="A1031" t="s">
        <v>2325</v>
      </c>
      <c r="B1031" t="s">
        <v>2326</v>
      </c>
      <c r="C1031" t="str">
        <f>"84.07"</f>
        <v>84.07</v>
      </c>
      <c r="D1031" t="s">
        <v>2484</v>
      </c>
    </row>
    <row r="1032" spans="1:4" x14ac:dyDescent="0.55000000000000004">
      <c r="A1032" t="s">
        <v>2325</v>
      </c>
      <c r="B1032" t="s">
        <v>2326</v>
      </c>
      <c r="C1032" t="str">
        <f>"84.08"</f>
        <v>84.08</v>
      </c>
      <c r="D1032" t="s">
        <v>2485</v>
      </c>
    </row>
    <row r="1033" spans="1:4" x14ac:dyDescent="0.55000000000000004">
      <c r="A1033" t="s">
        <v>2325</v>
      </c>
      <c r="B1033" t="s">
        <v>2326</v>
      </c>
      <c r="C1033" t="str">
        <f>"84.09"</f>
        <v>84.09</v>
      </c>
      <c r="D1033" t="s">
        <v>2486</v>
      </c>
    </row>
    <row r="1034" spans="1:4" x14ac:dyDescent="0.55000000000000004">
      <c r="A1034" t="s">
        <v>2325</v>
      </c>
      <c r="B1034" t="s">
        <v>2326</v>
      </c>
      <c r="C1034" t="str">
        <f>"84.21"</f>
        <v>84.21</v>
      </c>
      <c r="D1034" t="s">
        <v>2487</v>
      </c>
    </row>
    <row r="1035" spans="1:4" x14ac:dyDescent="0.55000000000000004">
      <c r="A1035" t="s">
        <v>2325</v>
      </c>
      <c r="B1035" t="s">
        <v>2326</v>
      </c>
      <c r="C1035" t="str">
        <f>"84.22"</f>
        <v>84.22</v>
      </c>
      <c r="D1035" t="s">
        <v>2488</v>
      </c>
    </row>
    <row r="1036" spans="1:4" x14ac:dyDescent="0.55000000000000004">
      <c r="A1036" t="s">
        <v>2325</v>
      </c>
      <c r="B1036" t="s">
        <v>2326</v>
      </c>
      <c r="C1036" t="str">
        <f>"84.23"</f>
        <v>84.23</v>
      </c>
      <c r="D1036" t="s">
        <v>2489</v>
      </c>
    </row>
    <row r="1037" spans="1:4" x14ac:dyDescent="0.55000000000000004">
      <c r="A1037" t="s">
        <v>2325</v>
      </c>
      <c r="B1037" t="s">
        <v>2326</v>
      </c>
      <c r="C1037" t="str">
        <f>"84.24"</f>
        <v>84.24</v>
      </c>
      <c r="D1037" t="s">
        <v>2490</v>
      </c>
    </row>
    <row r="1038" spans="1:4" x14ac:dyDescent="0.55000000000000004">
      <c r="A1038" t="s">
        <v>2325</v>
      </c>
      <c r="B1038" t="s">
        <v>2326</v>
      </c>
      <c r="C1038" t="str">
        <f>"84.44"</f>
        <v>84.44</v>
      </c>
      <c r="D1038" t="s">
        <v>2491</v>
      </c>
    </row>
    <row r="1039" spans="1:4" x14ac:dyDescent="0.55000000000000004">
      <c r="A1039" t="s">
        <v>2492</v>
      </c>
      <c r="B1039" t="s">
        <v>2493</v>
      </c>
      <c r="C1039" t="str">
        <f>"38.38"</f>
        <v>38.38</v>
      </c>
      <c r="D1039" t="s">
        <v>2494</v>
      </c>
    </row>
    <row r="1040" spans="1:4" x14ac:dyDescent="0.55000000000000004">
      <c r="A1040" t="s">
        <v>2492</v>
      </c>
      <c r="B1040" t="s">
        <v>2493</v>
      </c>
      <c r="C1040" t="str">
        <f>"38.39"</f>
        <v>38.39</v>
      </c>
      <c r="D1040" t="s">
        <v>2495</v>
      </c>
    </row>
    <row r="1041" spans="1:4" x14ac:dyDescent="0.55000000000000004">
      <c r="A1041" t="s">
        <v>2492</v>
      </c>
      <c r="B1041" t="s">
        <v>2493</v>
      </c>
      <c r="C1041" t="str">
        <f>"38.48"</f>
        <v>38.48</v>
      </c>
      <c r="D1041" t="s">
        <v>2496</v>
      </c>
    </row>
    <row r="1042" spans="1:4" x14ac:dyDescent="0.55000000000000004">
      <c r="A1042" t="s">
        <v>2492</v>
      </c>
      <c r="B1042" t="s">
        <v>2493</v>
      </c>
      <c r="C1042" t="str">
        <f>"38.49"</f>
        <v>38.49</v>
      </c>
      <c r="D1042" t="s">
        <v>2497</v>
      </c>
    </row>
    <row r="1043" spans="1:4" x14ac:dyDescent="0.55000000000000004">
      <c r="A1043" t="s">
        <v>2492</v>
      </c>
      <c r="B1043" t="s">
        <v>2493</v>
      </c>
      <c r="C1043" t="str">
        <f>"38.68"</f>
        <v>38.68</v>
      </c>
      <c r="D1043" t="s">
        <v>2498</v>
      </c>
    </row>
    <row r="1044" spans="1:4" x14ac:dyDescent="0.55000000000000004">
      <c r="A1044" t="s">
        <v>2492</v>
      </c>
      <c r="B1044" t="s">
        <v>2493</v>
      </c>
      <c r="C1044" t="str">
        <f>"38.69"</f>
        <v>38.69</v>
      </c>
      <c r="D1044" t="s">
        <v>2499</v>
      </c>
    </row>
    <row r="1045" spans="1:4" x14ac:dyDescent="0.55000000000000004">
      <c r="A1045" t="s">
        <v>2492</v>
      </c>
      <c r="B1045" t="s">
        <v>2493</v>
      </c>
      <c r="C1045" t="str">
        <f>"38.88"</f>
        <v>38.88</v>
      </c>
      <c r="D1045" t="s">
        <v>2500</v>
      </c>
    </row>
    <row r="1046" spans="1:4" x14ac:dyDescent="0.55000000000000004">
      <c r="A1046" t="s">
        <v>2492</v>
      </c>
      <c r="B1046" t="s">
        <v>2493</v>
      </c>
      <c r="C1046" t="str">
        <f>"38.89"</f>
        <v>38.89</v>
      </c>
      <c r="D1046" t="s">
        <v>2501</v>
      </c>
    </row>
    <row r="1047" spans="1:4" x14ac:dyDescent="0.55000000000000004">
      <c r="A1047" t="s">
        <v>2492</v>
      </c>
      <c r="B1047" t="s">
        <v>2493</v>
      </c>
      <c r="C1047" t="str">
        <f>"77.25"</f>
        <v>77.25</v>
      </c>
      <c r="D1047" t="s">
        <v>2502</v>
      </c>
    </row>
    <row r="1048" spans="1:4" x14ac:dyDescent="0.55000000000000004">
      <c r="A1048" t="s">
        <v>2492</v>
      </c>
      <c r="B1048" t="s">
        <v>2493</v>
      </c>
      <c r="C1048" t="str">
        <f>"77.26"</f>
        <v>77.26</v>
      </c>
      <c r="D1048" t="s">
        <v>2503</v>
      </c>
    </row>
    <row r="1049" spans="1:4" x14ac:dyDescent="0.55000000000000004">
      <c r="A1049" t="s">
        <v>2492</v>
      </c>
      <c r="B1049" t="s">
        <v>2493</v>
      </c>
      <c r="C1049" t="str">
        <f>"77.27"</f>
        <v>77.27</v>
      </c>
      <c r="D1049" t="s">
        <v>2504</v>
      </c>
    </row>
    <row r="1050" spans="1:4" x14ac:dyDescent="0.55000000000000004">
      <c r="A1050" t="s">
        <v>2492</v>
      </c>
      <c r="B1050" t="s">
        <v>2493</v>
      </c>
      <c r="C1050" t="str">
        <f>"77.28"</f>
        <v>77.28</v>
      </c>
      <c r="D1050" t="s">
        <v>2505</v>
      </c>
    </row>
    <row r="1051" spans="1:4" x14ac:dyDescent="0.55000000000000004">
      <c r="A1051" t="s">
        <v>2492</v>
      </c>
      <c r="B1051" t="s">
        <v>2493</v>
      </c>
      <c r="C1051" t="str">
        <f>"77.35"</f>
        <v>77.35</v>
      </c>
      <c r="D1051" t="s">
        <v>2506</v>
      </c>
    </row>
    <row r="1052" spans="1:4" x14ac:dyDescent="0.55000000000000004">
      <c r="A1052" t="s">
        <v>2492</v>
      </c>
      <c r="B1052" t="s">
        <v>2493</v>
      </c>
      <c r="C1052" t="str">
        <f>"77.36"</f>
        <v>77.36</v>
      </c>
      <c r="D1052" t="s">
        <v>2507</v>
      </c>
    </row>
    <row r="1053" spans="1:4" x14ac:dyDescent="0.55000000000000004">
      <c r="A1053" t="s">
        <v>2492</v>
      </c>
      <c r="B1053" t="s">
        <v>2493</v>
      </c>
      <c r="C1053" t="str">
        <f>"77.37"</f>
        <v>77.37</v>
      </c>
      <c r="D1053" t="s">
        <v>2508</v>
      </c>
    </row>
    <row r="1054" spans="1:4" x14ac:dyDescent="0.55000000000000004">
      <c r="A1054" t="s">
        <v>2492</v>
      </c>
      <c r="B1054" t="s">
        <v>2493</v>
      </c>
      <c r="C1054" t="str">
        <f>"77.38"</f>
        <v>77.38</v>
      </c>
      <c r="D1054" t="s">
        <v>2509</v>
      </c>
    </row>
    <row r="1055" spans="1:4" x14ac:dyDescent="0.55000000000000004">
      <c r="A1055" t="s">
        <v>2492</v>
      </c>
      <c r="B1055" t="s">
        <v>2493</v>
      </c>
      <c r="C1055" t="str">
        <f>"77.75"</f>
        <v>77.75</v>
      </c>
      <c r="D1055" t="s">
        <v>2510</v>
      </c>
    </row>
    <row r="1056" spans="1:4" x14ac:dyDescent="0.55000000000000004">
      <c r="A1056" t="s">
        <v>2492</v>
      </c>
      <c r="B1056" t="s">
        <v>2493</v>
      </c>
      <c r="C1056" t="str">
        <f>"77.76"</f>
        <v>77.76</v>
      </c>
      <c r="D1056" t="s">
        <v>2511</v>
      </c>
    </row>
    <row r="1057" spans="1:4" x14ac:dyDescent="0.55000000000000004">
      <c r="A1057" t="s">
        <v>2492</v>
      </c>
      <c r="B1057" t="s">
        <v>2493</v>
      </c>
      <c r="C1057" t="str">
        <f>"77.77"</f>
        <v>77.77</v>
      </c>
      <c r="D1057" t="s">
        <v>2512</v>
      </c>
    </row>
    <row r="1058" spans="1:4" x14ac:dyDescent="0.55000000000000004">
      <c r="A1058" t="s">
        <v>2492</v>
      </c>
      <c r="B1058" t="s">
        <v>2493</v>
      </c>
      <c r="C1058" t="str">
        <f>"77.78"</f>
        <v>77.78</v>
      </c>
      <c r="D1058" t="s">
        <v>2513</v>
      </c>
    </row>
    <row r="1059" spans="1:4" x14ac:dyDescent="0.55000000000000004">
      <c r="A1059" t="s">
        <v>2492</v>
      </c>
      <c r="B1059" t="s">
        <v>2493</v>
      </c>
      <c r="C1059" t="str">
        <f>"77.85"</f>
        <v>77.85</v>
      </c>
      <c r="D1059" t="s">
        <v>2514</v>
      </c>
    </row>
    <row r="1060" spans="1:4" x14ac:dyDescent="0.55000000000000004">
      <c r="A1060" t="s">
        <v>2492</v>
      </c>
      <c r="B1060" t="s">
        <v>2493</v>
      </c>
      <c r="C1060" t="str">
        <f>"77.86"</f>
        <v>77.86</v>
      </c>
      <c r="D1060" t="s">
        <v>2515</v>
      </c>
    </row>
    <row r="1061" spans="1:4" x14ac:dyDescent="0.55000000000000004">
      <c r="A1061" t="s">
        <v>2492</v>
      </c>
      <c r="B1061" t="s">
        <v>2493</v>
      </c>
      <c r="C1061" t="str">
        <f>"77.87"</f>
        <v>77.87</v>
      </c>
      <c r="D1061" t="s">
        <v>2516</v>
      </c>
    </row>
    <row r="1062" spans="1:4" x14ac:dyDescent="0.55000000000000004">
      <c r="A1062" t="s">
        <v>2492</v>
      </c>
      <c r="B1062" t="s">
        <v>2493</v>
      </c>
      <c r="C1062" t="str">
        <f>"77.88"</f>
        <v>77.88</v>
      </c>
      <c r="D1062" t="s">
        <v>2517</v>
      </c>
    </row>
    <row r="1063" spans="1:4" x14ac:dyDescent="0.55000000000000004">
      <c r="A1063" t="s">
        <v>2492</v>
      </c>
      <c r="B1063" t="s">
        <v>2493</v>
      </c>
      <c r="C1063" t="str">
        <f>"77.95"</f>
        <v>77.95</v>
      </c>
      <c r="D1063" t="s">
        <v>2518</v>
      </c>
    </row>
    <row r="1064" spans="1:4" x14ac:dyDescent="0.55000000000000004">
      <c r="A1064" t="s">
        <v>2492</v>
      </c>
      <c r="B1064" t="s">
        <v>2493</v>
      </c>
      <c r="C1064" t="str">
        <f>"77.96"</f>
        <v>77.96</v>
      </c>
      <c r="D1064" t="s">
        <v>2519</v>
      </c>
    </row>
    <row r="1065" spans="1:4" x14ac:dyDescent="0.55000000000000004">
      <c r="A1065" t="s">
        <v>2492</v>
      </c>
      <c r="B1065" t="s">
        <v>2493</v>
      </c>
      <c r="C1065" t="str">
        <f>"77.97"</f>
        <v>77.97</v>
      </c>
      <c r="D1065" t="s">
        <v>2520</v>
      </c>
    </row>
    <row r="1066" spans="1:4" x14ac:dyDescent="0.55000000000000004">
      <c r="A1066" t="s">
        <v>2492</v>
      </c>
      <c r="B1066" t="s">
        <v>2493</v>
      </c>
      <c r="C1066" t="str">
        <f>"77.98"</f>
        <v>77.98</v>
      </c>
      <c r="D1066" t="s">
        <v>2521</v>
      </c>
    </row>
    <row r="1067" spans="1:4" x14ac:dyDescent="0.55000000000000004">
      <c r="A1067" t="s">
        <v>2492</v>
      </c>
      <c r="B1067" t="s">
        <v>2493</v>
      </c>
      <c r="C1067" t="str">
        <f>"78.05"</f>
        <v>78.05</v>
      </c>
      <c r="D1067" t="s">
        <v>2522</v>
      </c>
    </row>
    <row r="1068" spans="1:4" x14ac:dyDescent="0.55000000000000004">
      <c r="A1068" t="s">
        <v>2492</v>
      </c>
      <c r="B1068" t="s">
        <v>2493</v>
      </c>
      <c r="C1068" t="str">
        <f>"78.06"</f>
        <v>78.06</v>
      </c>
      <c r="D1068" t="s">
        <v>2523</v>
      </c>
    </row>
    <row r="1069" spans="1:4" x14ac:dyDescent="0.55000000000000004">
      <c r="A1069" t="s">
        <v>2492</v>
      </c>
      <c r="B1069" t="s">
        <v>2493</v>
      </c>
      <c r="C1069" t="str">
        <f>"78.07"</f>
        <v>78.07</v>
      </c>
      <c r="D1069" t="s">
        <v>2524</v>
      </c>
    </row>
    <row r="1070" spans="1:4" x14ac:dyDescent="0.55000000000000004">
      <c r="A1070" t="s">
        <v>2492</v>
      </c>
      <c r="B1070" t="s">
        <v>2493</v>
      </c>
      <c r="C1070" t="str">
        <f>"78.08"</f>
        <v>78.08</v>
      </c>
      <c r="D1070" t="s">
        <v>2525</v>
      </c>
    </row>
    <row r="1071" spans="1:4" x14ac:dyDescent="0.55000000000000004">
      <c r="A1071" t="s">
        <v>2492</v>
      </c>
      <c r="B1071" t="s">
        <v>2493</v>
      </c>
      <c r="C1071" t="str">
        <f>"78.12"</f>
        <v>78.12</v>
      </c>
      <c r="D1071" t="s">
        <v>2526</v>
      </c>
    </row>
    <row r="1072" spans="1:4" x14ac:dyDescent="0.55000000000000004">
      <c r="A1072" t="s">
        <v>2492</v>
      </c>
      <c r="B1072" t="s">
        <v>2493</v>
      </c>
      <c r="C1072" t="str">
        <f>"78.15"</f>
        <v>78.15</v>
      </c>
      <c r="D1072" t="s">
        <v>2527</v>
      </c>
    </row>
    <row r="1073" spans="1:4" x14ac:dyDescent="0.55000000000000004">
      <c r="A1073" t="s">
        <v>2492</v>
      </c>
      <c r="B1073" t="s">
        <v>2493</v>
      </c>
      <c r="C1073" t="str">
        <f>"78.16"</f>
        <v>78.16</v>
      </c>
      <c r="D1073" t="s">
        <v>2528</v>
      </c>
    </row>
    <row r="1074" spans="1:4" x14ac:dyDescent="0.55000000000000004">
      <c r="A1074" t="s">
        <v>2492</v>
      </c>
      <c r="B1074" t="s">
        <v>2493</v>
      </c>
      <c r="C1074" t="str">
        <f>"78.17"</f>
        <v>78.17</v>
      </c>
      <c r="D1074" t="s">
        <v>2529</v>
      </c>
    </row>
    <row r="1075" spans="1:4" x14ac:dyDescent="0.55000000000000004">
      <c r="A1075" t="s">
        <v>2492</v>
      </c>
      <c r="B1075" t="s">
        <v>2493</v>
      </c>
      <c r="C1075" t="str">
        <f>"78.18"</f>
        <v>78.18</v>
      </c>
      <c r="D1075" t="s">
        <v>2530</v>
      </c>
    </row>
    <row r="1076" spans="1:4" x14ac:dyDescent="0.55000000000000004">
      <c r="A1076" t="s">
        <v>2492</v>
      </c>
      <c r="B1076" t="s">
        <v>2493</v>
      </c>
      <c r="C1076" t="str">
        <f>"78.45"</f>
        <v>78.45</v>
      </c>
      <c r="D1076" t="s">
        <v>2531</v>
      </c>
    </row>
    <row r="1077" spans="1:4" x14ac:dyDescent="0.55000000000000004">
      <c r="A1077" t="s">
        <v>2492</v>
      </c>
      <c r="B1077" t="s">
        <v>2493</v>
      </c>
      <c r="C1077" t="str">
        <f>"78.46"</f>
        <v>78.46</v>
      </c>
      <c r="D1077" t="s">
        <v>2532</v>
      </c>
    </row>
    <row r="1078" spans="1:4" x14ac:dyDescent="0.55000000000000004">
      <c r="A1078" t="s">
        <v>2492</v>
      </c>
      <c r="B1078" t="s">
        <v>2493</v>
      </c>
      <c r="C1078" t="str">
        <f>"78.47"</f>
        <v>78.47</v>
      </c>
      <c r="D1078" t="s">
        <v>2533</v>
      </c>
    </row>
    <row r="1079" spans="1:4" x14ac:dyDescent="0.55000000000000004">
      <c r="A1079" t="s">
        <v>2492</v>
      </c>
      <c r="B1079" t="s">
        <v>2493</v>
      </c>
      <c r="C1079" t="str">
        <f>"78.48"</f>
        <v>78.48</v>
      </c>
      <c r="D1079" t="s">
        <v>2534</v>
      </c>
    </row>
    <row r="1080" spans="1:4" x14ac:dyDescent="0.55000000000000004">
      <c r="A1080" t="s">
        <v>2492</v>
      </c>
      <c r="B1080" t="s">
        <v>2493</v>
      </c>
      <c r="C1080" t="str">
        <f>"78.55"</f>
        <v>78.55</v>
      </c>
      <c r="D1080" t="s">
        <v>2535</v>
      </c>
    </row>
    <row r="1081" spans="1:4" x14ac:dyDescent="0.55000000000000004">
      <c r="A1081" t="s">
        <v>2492</v>
      </c>
      <c r="B1081" t="s">
        <v>2493</v>
      </c>
      <c r="C1081" t="str">
        <f>"78.56"</f>
        <v>78.56</v>
      </c>
      <c r="D1081" t="s">
        <v>2536</v>
      </c>
    </row>
    <row r="1082" spans="1:4" x14ac:dyDescent="0.55000000000000004">
      <c r="A1082" t="s">
        <v>2492</v>
      </c>
      <c r="B1082" t="s">
        <v>2493</v>
      </c>
      <c r="C1082" t="str">
        <f>"78.57"</f>
        <v>78.57</v>
      </c>
      <c r="D1082" t="s">
        <v>2537</v>
      </c>
    </row>
    <row r="1083" spans="1:4" x14ac:dyDescent="0.55000000000000004">
      <c r="A1083" t="s">
        <v>2492</v>
      </c>
      <c r="B1083" t="s">
        <v>2493</v>
      </c>
      <c r="C1083" t="str">
        <f>"78.58"</f>
        <v>78.58</v>
      </c>
      <c r="D1083" t="s">
        <v>2538</v>
      </c>
    </row>
    <row r="1084" spans="1:4" x14ac:dyDescent="0.55000000000000004">
      <c r="A1084" t="s">
        <v>2492</v>
      </c>
      <c r="B1084" t="s">
        <v>2493</v>
      </c>
      <c r="C1084" t="str">
        <f>"78.65"</f>
        <v>78.65</v>
      </c>
      <c r="D1084" t="s">
        <v>2539</v>
      </c>
    </row>
    <row r="1085" spans="1:4" x14ac:dyDescent="0.55000000000000004">
      <c r="A1085" t="s">
        <v>2492</v>
      </c>
      <c r="B1085" t="s">
        <v>2493</v>
      </c>
      <c r="C1085" t="str">
        <f>"78.66"</f>
        <v>78.66</v>
      </c>
      <c r="D1085" t="s">
        <v>2540</v>
      </c>
    </row>
    <row r="1086" spans="1:4" x14ac:dyDescent="0.55000000000000004">
      <c r="A1086" t="s">
        <v>2492</v>
      </c>
      <c r="B1086" t="s">
        <v>2493</v>
      </c>
      <c r="C1086" t="str">
        <f>"78.67"</f>
        <v>78.67</v>
      </c>
      <c r="D1086" t="s">
        <v>2541</v>
      </c>
    </row>
    <row r="1087" spans="1:4" x14ac:dyDescent="0.55000000000000004">
      <c r="A1087" t="s">
        <v>2492</v>
      </c>
      <c r="B1087" t="s">
        <v>2493</v>
      </c>
      <c r="C1087" t="str">
        <f>"78.68"</f>
        <v>78.68</v>
      </c>
      <c r="D1087" t="s">
        <v>2542</v>
      </c>
    </row>
    <row r="1088" spans="1:4" x14ac:dyDescent="0.55000000000000004">
      <c r="A1088" t="s">
        <v>2492</v>
      </c>
      <c r="B1088" t="s">
        <v>2493</v>
      </c>
      <c r="C1088" t="str">
        <f>"78.95"</f>
        <v>78.95</v>
      </c>
      <c r="D1088" t="s">
        <v>2543</v>
      </c>
    </row>
    <row r="1089" spans="1:4" x14ac:dyDescent="0.55000000000000004">
      <c r="A1089" t="s">
        <v>2492</v>
      </c>
      <c r="B1089" t="s">
        <v>2493</v>
      </c>
      <c r="C1089" t="str">
        <f>"78.96"</f>
        <v>78.96</v>
      </c>
      <c r="D1089" t="s">
        <v>2544</v>
      </c>
    </row>
    <row r="1090" spans="1:4" x14ac:dyDescent="0.55000000000000004">
      <c r="A1090" t="s">
        <v>2492</v>
      </c>
      <c r="B1090" t="s">
        <v>2493</v>
      </c>
      <c r="C1090" t="str">
        <f>"78.97"</f>
        <v>78.97</v>
      </c>
      <c r="D1090" t="s">
        <v>2545</v>
      </c>
    </row>
    <row r="1091" spans="1:4" x14ac:dyDescent="0.55000000000000004">
      <c r="A1091" t="s">
        <v>2492</v>
      </c>
      <c r="B1091" t="s">
        <v>2493</v>
      </c>
      <c r="C1091" t="str">
        <f>"78.98"</f>
        <v>78.98</v>
      </c>
      <c r="D1091" t="s">
        <v>2546</v>
      </c>
    </row>
    <row r="1092" spans="1:4" x14ac:dyDescent="0.55000000000000004">
      <c r="A1092" t="s">
        <v>2492</v>
      </c>
      <c r="B1092" t="s">
        <v>2493</v>
      </c>
      <c r="C1092" t="str">
        <f>"79.15"</f>
        <v>79.15</v>
      </c>
      <c r="D1092" t="s">
        <v>2547</v>
      </c>
    </row>
    <row r="1093" spans="1:4" x14ac:dyDescent="0.55000000000000004">
      <c r="A1093" t="s">
        <v>2492</v>
      </c>
      <c r="B1093" t="s">
        <v>2493</v>
      </c>
      <c r="C1093" t="str">
        <f>"79.16"</f>
        <v>79.16</v>
      </c>
      <c r="D1093" t="s">
        <v>2548</v>
      </c>
    </row>
    <row r="1094" spans="1:4" x14ac:dyDescent="0.55000000000000004">
      <c r="A1094" t="s">
        <v>2492</v>
      </c>
      <c r="B1094" t="s">
        <v>2493</v>
      </c>
      <c r="C1094" t="str">
        <f>"79.17"</f>
        <v>79.17</v>
      </c>
      <c r="D1094" t="s">
        <v>2549</v>
      </c>
    </row>
    <row r="1095" spans="1:4" x14ac:dyDescent="0.55000000000000004">
      <c r="A1095" t="s">
        <v>2492</v>
      </c>
      <c r="B1095" t="s">
        <v>2493</v>
      </c>
      <c r="C1095" t="str">
        <f>"79.18"</f>
        <v>79.18</v>
      </c>
      <c r="D1095" t="s">
        <v>2550</v>
      </c>
    </row>
    <row r="1096" spans="1:4" x14ac:dyDescent="0.55000000000000004">
      <c r="A1096" t="s">
        <v>2492</v>
      </c>
      <c r="B1096" t="s">
        <v>2493</v>
      </c>
      <c r="C1096" t="str">
        <f>"79.25"</f>
        <v>79.25</v>
      </c>
      <c r="D1096" t="s">
        <v>2551</v>
      </c>
    </row>
    <row r="1097" spans="1:4" x14ac:dyDescent="0.55000000000000004">
      <c r="A1097" t="s">
        <v>2492</v>
      </c>
      <c r="B1097" t="s">
        <v>2493</v>
      </c>
      <c r="C1097" t="str">
        <f>"79.26"</f>
        <v>79.26</v>
      </c>
      <c r="D1097" t="s">
        <v>2552</v>
      </c>
    </row>
    <row r="1098" spans="1:4" x14ac:dyDescent="0.55000000000000004">
      <c r="A1098" t="s">
        <v>2492</v>
      </c>
      <c r="B1098" t="s">
        <v>2493</v>
      </c>
      <c r="C1098" t="str">
        <f>"79.27"</f>
        <v>79.27</v>
      </c>
      <c r="D1098" t="s">
        <v>2553</v>
      </c>
    </row>
    <row r="1099" spans="1:4" x14ac:dyDescent="0.55000000000000004">
      <c r="A1099" t="s">
        <v>2492</v>
      </c>
      <c r="B1099" t="s">
        <v>2493</v>
      </c>
      <c r="C1099" t="str">
        <f>"79.28"</f>
        <v>79.28</v>
      </c>
      <c r="D1099" t="s">
        <v>2554</v>
      </c>
    </row>
    <row r="1100" spans="1:4" x14ac:dyDescent="0.55000000000000004">
      <c r="A1100" t="s">
        <v>2492</v>
      </c>
      <c r="B1100" t="s">
        <v>2493</v>
      </c>
      <c r="C1100" t="str">
        <f>"79.35"</f>
        <v>79.35</v>
      </c>
      <c r="D1100" t="s">
        <v>2555</v>
      </c>
    </row>
    <row r="1101" spans="1:4" x14ac:dyDescent="0.55000000000000004">
      <c r="A1101" t="s">
        <v>2492</v>
      </c>
      <c r="B1101" t="s">
        <v>2493</v>
      </c>
      <c r="C1101" t="str">
        <f>"79.36"</f>
        <v>79.36</v>
      </c>
      <c r="D1101" t="s">
        <v>2556</v>
      </c>
    </row>
    <row r="1102" spans="1:4" x14ac:dyDescent="0.55000000000000004">
      <c r="A1102" t="s">
        <v>2492</v>
      </c>
      <c r="B1102" t="s">
        <v>2493</v>
      </c>
      <c r="C1102" t="str">
        <f>"79.37"</f>
        <v>79.37</v>
      </c>
      <c r="D1102" t="s">
        <v>2557</v>
      </c>
    </row>
    <row r="1103" spans="1:4" x14ac:dyDescent="0.55000000000000004">
      <c r="A1103" t="s">
        <v>2492</v>
      </c>
      <c r="B1103" t="s">
        <v>2493</v>
      </c>
      <c r="C1103" t="str">
        <f>"79.38"</f>
        <v>79.38</v>
      </c>
      <c r="D1103" t="s">
        <v>2558</v>
      </c>
    </row>
    <row r="1104" spans="1:4" x14ac:dyDescent="0.55000000000000004">
      <c r="A1104" t="s">
        <v>2492</v>
      </c>
      <c r="B1104" t="s">
        <v>2493</v>
      </c>
      <c r="C1104" t="str">
        <f>"79.45"</f>
        <v>79.45</v>
      </c>
      <c r="D1104" t="s">
        <v>2559</v>
      </c>
    </row>
    <row r="1105" spans="1:4" x14ac:dyDescent="0.55000000000000004">
      <c r="A1105" t="s">
        <v>2492</v>
      </c>
      <c r="B1105" t="s">
        <v>2493</v>
      </c>
      <c r="C1105" t="str">
        <f>"79.46"</f>
        <v>79.46</v>
      </c>
      <c r="D1105" t="s">
        <v>2560</v>
      </c>
    </row>
    <row r="1106" spans="1:4" x14ac:dyDescent="0.55000000000000004">
      <c r="A1106" t="s">
        <v>2492</v>
      </c>
      <c r="B1106" t="s">
        <v>2493</v>
      </c>
      <c r="C1106" t="str">
        <f>"79.65"</f>
        <v>79.65</v>
      </c>
      <c r="D1106" t="s">
        <v>2561</v>
      </c>
    </row>
    <row r="1107" spans="1:4" x14ac:dyDescent="0.55000000000000004">
      <c r="A1107" t="s">
        <v>2492</v>
      </c>
      <c r="B1107" t="s">
        <v>2493</v>
      </c>
      <c r="C1107" t="str">
        <f>"79.66"</f>
        <v>79.66</v>
      </c>
      <c r="D1107" t="s">
        <v>2562</v>
      </c>
    </row>
    <row r="1108" spans="1:4" x14ac:dyDescent="0.55000000000000004">
      <c r="A1108" t="s">
        <v>2492</v>
      </c>
      <c r="B1108" t="s">
        <v>2493</v>
      </c>
      <c r="C1108" t="str">
        <f>"79.67"</f>
        <v>79.67</v>
      </c>
      <c r="D1108" t="s">
        <v>2563</v>
      </c>
    </row>
    <row r="1109" spans="1:4" x14ac:dyDescent="0.55000000000000004">
      <c r="A1109" t="s">
        <v>2492</v>
      </c>
      <c r="B1109" t="s">
        <v>2493</v>
      </c>
      <c r="C1109" t="str">
        <f>"79.68"</f>
        <v>79.68</v>
      </c>
      <c r="D1109" t="s">
        <v>2564</v>
      </c>
    </row>
    <row r="1110" spans="1:4" x14ac:dyDescent="0.55000000000000004">
      <c r="A1110" t="s">
        <v>2492</v>
      </c>
      <c r="B1110" t="s">
        <v>2493</v>
      </c>
      <c r="C1110" t="str">
        <f>"79.85"</f>
        <v>79.85</v>
      </c>
      <c r="D1110" t="s">
        <v>2565</v>
      </c>
    </row>
    <row r="1111" spans="1:4" x14ac:dyDescent="0.55000000000000004">
      <c r="A1111" t="s">
        <v>2492</v>
      </c>
      <c r="B1111" t="s">
        <v>2493</v>
      </c>
      <c r="C1111" t="str">
        <f>"79.86"</f>
        <v>79.86</v>
      </c>
      <c r="D1111" t="s">
        <v>2566</v>
      </c>
    </row>
    <row r="1112" spans="1:4" x14ac:dyDescent="0.55000000000000004">
      <c r="A1112" t="s">
        <v>2492</v>
      </c>
      <c r="B1112" t="s">
        <v>2493</v>
      </c>
      <c r="C1112" t="str">
        <f>"79.87"</f>
        <v>79.87</v>
      </c>
      <c r="D1112" t="s">
        <v>2567</v>
      </c>
    </row>
    <row r="1113" spans="1:4" x14ac:dyDescent="0.55000000000000004">
      <c r="A1113" t="s">
        <v>2492</v>
      </c>
      <c r="B1113" t="s">
        <v>2493</v>
      </c>
      <c r="C1113" t="str">
        <f>"79.88"</f>
        <v>79.88</v>
      </c>
      <c r="D1113" t="s">
        <v>2568</v>
      </c>
    </row>
    <row r="1114" spans="1:4" x14ac:dyDescent="0.55000000000000004">
      <c r="A1114" t="s">
        <v>2492</v>
      </c>
      <c r="B1114" t="s">
        <v>2493</v>
      </c>
      <c r="C1114" t="str">
        <f>"79.95"</f>
        <v>79.95</v>
      </c>
      <c r="D1114" t="s">
        <v>2569</v>
      </c>
    </row>
    <row r="1115" spans="1:4" x14ac:dyDescent="0.55000000000000004">
      <c r="A1115" t="s">
        <v>2492</v>
      </c>
      <c r="B1115" t="s">
        <v>2493</v>
      </c>
      <c r="C1115" t="str">
        <f>"79.96"</f>
        <v>79.96</v>
      </c>
      <c r="D1115" t="s">
        <v>2570</v>
      </c>
    </row>
    <row r="1116" spans="1:4" x14ac:dyDescent="0.55000000000000004">
      <c r="A1116" t="s">
        <v>2492</v>
      </c>
      <c r="B1116" t="s">
        <v>2493</v>
      </c>
      <c r="C1116" t="str">
        <f>"79.97"</f>
        <v>79.97</v>
      </c>
      <c r="D1116" t="s">
        <v>2571</v>
      </c>
    </row>
    <row r="1117" spans="1:4" x14ac:dyDescent="0.55000000000000004">
      <c r="A1117" t="s">
        <v>2492</v>
      </c>
      <c r="B1117" t="s">
        <v>2493</v>
      </c>
      <c r="C1117" t="str">
        <f>"79.98"</f>
        <v>79.98</v>
      </c>
      <c r="D1117" t="s">
        <v>2572</v>
      </c>
    </row>
    <row r="1118" spans="1:4" x14ac:dyDescent="0.55000000000000004">
      <c r="A1118" t="s">
        <v>2492</v>
      </c>
      <c r="B1118" t="s">
        <v>2493</v>
      </c>
      <c r="C1118" t="str">
        <f>"80.15"</f>
        <v>80.15</v>
      </c>
      <c r="D1118" t="s">
        <v>2573</v>
      </c>
    </row>
    <row r="1119" spans="1:4" x14ac:dyDescent="0.55000000000000004">
      <c r="A1119" t="s">
        <v>2492</v>
      </c>
      <c r="B1119" t="s">
        <v>2493</v>
      </c>
      <c r="C1119" t="str">
        <f>"80.16"</f>
        <v>80.16</v>
      </c>
      <c r="D1119" t="s">
        <v>2574</v>
      </c>
    </row>
    <row r="1120" spans="1:4" x14ac:dyDescent="0.55000000000000004">
      <c r="A1120" t="s">
        <v>2492</v>
      </c>
      <c r="B1120" t="s">
        <v>2493</v>
      </c>
      <c r="C1120" t="str">
        <f>"80.17"</f>
        <v>80.17</v>
      </c>
      <c r="D1120" t="s">
        <v>2575</v>
      </c>
    </row>
    <row r="1121" spans="1:4" x14ac:dyDescent="0.55000000000000004">
      <c r="A1121" t="s">
        <v>2492</v>
      </c>
      <c r="B1121" t="s">
        <v>2493</v>
      </c>
      <c r="C1121" t="str">
        <f>"80.18"</f>
        <v>80.18</v>
      </c>
      <c r="D1121" t="s">
        <v>2576</v>
      </c>
    </row>
    <row r="1122" spans="1:4" x14ac:dyDescent="0.55000000000000004">
      <c r="A1122" t="s">
        <v>2492</v>
      </c>
      <c r="B1122" t="s">
        <v>2493</v>
      </c>
      <c r="C1122" t="str">
        <f>"80.25"</f>
        <v>80.25</v>
      </c>
      <c r="D1122" t="s">
        <v>2577</v>
      </c>
    </row>
    <row r="1123" spans="1:4" x14ac:dyDescent="0.55000000000000004">
      <c r="A1123" t="s">
        <v>2492</v>
      </c>
      <c r="B1123" t="s">
        <v>2493</v>
      </c>
      <c r="C1123" t="str">
        <f>"80.26"</f>
        <v>80.26</v>
      </c>
      <c r="D1123" t="s">
        <v>2578</v>
      </c>
    </row>
    <row r="1124" spans="1:4" x14ac:dyDescent="0.55000000000000004">
      <c r="A1124" t="s">
        <v>2492</v>
      </c>
      <c r="B1124" t="s">
        <v>2493</v>
      </c>
      <c r="C1124" t="str">
        <f>"80.27"</f>
        <v>80.27</v>
      </c>
      <c r="D1124" t="s">
        <v>2579</v>
      </c>
    </row>
    <row r="1125" spans="1:4" x14ac:dyDescent="0.55000000000000004">
      <c r="A1125" t="s">
        <v>2492</v>
      </c>
      <c r="B1125" t="s">
        <v>2493</v>
      </c>
      <c r="C1125" t="str">
        <f>"80.28"</f>
        <v>80.28</v>
      </c>
      <c r="D1125" t="s">
        <v>2580</v>
      </c>
    </row>
    <row r="1126" spans="1:4" x14ac:dyDescent="0.55000000000000004">
      <c r="A1126" t="s">
        <v>2492</v>
      </c>
      <c r="B1126" t="s">
        <v>2493</v>
      </c>
      <c r="C1126" t="str">
        <f>"80.6"</f>
        <v>80.6</v>
      </c>
      <c r="D1126" t="s">
        <v>2581</v>
      </c>
    </row>
    <row r="1127" spans="1:4" x14ac:dyDescent="0.55000000000000004">
      <c r="A1127" t="s">
        <v>2492</v>
      </c>
      <c r="B1127" t="s">
        <v>2493</v>
      </c>
      <c r="C1127" t="str">
        <f>"80.75"</f>
        <v>80.75</v>
      </c>
      <c r="D1127" t="s">
        <v>2582</v>
      </c>
    </row>
    <row r="1128" spans="1:4" x14ac:dyDescent="0.55000000000000004">
      <c r="A1128" t="s">
        <v>2492</v>
      </c>
      <c r="B1128" t="s">
        <v>2493</v>
      </c>
      <c r="C1128" t="str">
        <f>"80.76"</f>
        <v>80.76</v>
      </c>
      <c r="D1128" t="s">
        <v>2583</v>
      </c>
    </row>
    <row r="1129" spans="1:4" x14ac:dyDescent="0.55000000000000004">
      <c r="A1129" t="s">
        <v>2492</v>
      </c>
      <c r="B1129" t="s">
        <v>2493</v>
      </c>
      <c r="C1129" t="str">
        <f>"80.77"</f>
        <v>80.77</v>
      </c>
      <c r="D1129" t="s">
        <v>2584</v>
      </c>
    </row>
    <row r="1130" spans="1:4" x14ac:dyDescent="0.55000000000000004">
      <c r="A1130" t="s">
        <v>2492</v>
      </c>
      <c r="B1130" t="s">
        <v>2493</v>
      </c>
      <c r="C1130" t="str">
        <f>"80.78"</f>
        <v>80.78</v>
      </c>
      <c r="D1130" t="s">
        <v>2585</v>
      </c>
    </row>
    <row r="1131" spans="1:4" x14ac:dyDescent="0.55000000000000004">
      <c r="A1131" t="s">
        <v>2492</v>
      </c>
      <c r="B1131" t="s">
        <v>2493</v>
      </c>
      <c r="C1131" t="str">
        <f>"80.85"</f>
        <v>80.85</v>
      </c>
      <c r="D1131" t="s">
        <v>2586</v>
      </c>
    </row>
    <row r="1132" spans="1:4" x14ac:dyDescent="0.55000000000000004">
      <c r="A1132" t="s">
        <v>2492</v>
      </c>
      <c r="B1132" t="s">
        <v>2493</v>
      </c>
      <c r="C1132" t="str">
        <f>"80.86"</f>
        <v>80.86</v>
      </c>
      <c r="D1132" t="s">
        <v>2587</v>
      </c>
    </row>
    <row r="1133" spans="1:4" x14ac:dyDescent="0.55000000000000004">
      <c r="A1133" t="s">
        <v>2492</v>
      </c>
      <c r="B1133" t="s">
        <v>2493</v>
      </c>
      <c r="C1133" t="str">
        <f>"80.87"</f>
        <v>80.87</v>
      </c>
      <c r="D1133" t="s">
        <v>2588</v>
      </c>
    </row>
    <row r="1134" spans="1:4" x14ac:dyDescent="0.55000000000000004">
      <c r="A1134" t="s">
        <v>2492</v>
      </c>
      <c r="B1134" t="s">
        <v>2493</v>
      </c>
      <c r="C1134" t="str">
        <f>"80.88"</f>
        <v>80.88</v>
      </c>
      <c r="D1134" t="s">
        <v>2589</v>
      </c>
    </row>
    <row r="1135" spans="1:4" x14ac:dyDescent="0.55000000000000004">
      <c r="A1135" t="s">
        <v>2492</v>
      </c>
      <c r="B1135" t="s">
        <v>2493</v>
      </c>
      <c r="C1135" t="str">
        <f>"80.95"</f>
        <v>80.95</v>
      </c>
      <c r="D1135" t="s">
        <v>2590</v>
      </c>
    </row>
    <row r="1136" spans="1:4" x14ac:dyDescent="0.55000000000000004">
      <c r="A1136" t="s">
        <v>2492</v>
      </c>
      <c r="B1136" t="s">
        <v>2493</v>
      </c>
      <c r="C1136" t="str">
        <f>"80.96"</f>
        <v>80.96</v>
      </c>
      <c r="D1136" t="s">
        <v>2591</v>
      </c>
    </row>
    <row r="1137" spans="1:4" x14ac:dyDescent="0.55000000000000004">
      <c r="A1137" t="s">
        <v>2492</v>
      </c>
      <c r="B1137" t="s">
        <v>2493</v>
      </c>
      <c r="C1137" t="str">
        <f>"80.97"</f>
        <v>80.97</v>
      </c>
      <c r="D1137" t="s">
        <v>2592</v>
      </c>
    </row>
    <row r="1138" spans="1:4" x14ac:dyDescent="0.55000000000000004">
      <c r="A1138" t="s">
        <v>2492</v>
      </c>
      <c r="B1138" t="s">
        <v>2493</v>
      </c>
      <c r="C1138" t="str">
        <f>"80.98"</f>
        <v>80.98</v>
      </c>
      <c r="D1138" t="s">
        <v>2593</v>
      </c>
    </row>
    <row r="1139" spans="1:4" x14ac:dyDescent="0.55000000000000004">
      <c r="A1139" t="s">
        <v>2492</v>
      </c>
      <c r="B1139" t="s">
        <v>2493</v>
      </c>
      <c r="C1139" t="str">
        <f>"81.11"</f>
        <v>81.11</v>
      </c>
      <c r="D1139" t="s">
        <v>2594</v>
      </c>
    </row>
    <row r="1140" spans="1:4" x14ac:dyDescent="0.55000000000000004">
      <c r="A1140" t="s">
        <v>2492</v>
      </c>
      <c r="B1140" t="s">
        <v>2493</v>
      </c>
      <c r="C1140" t="str">
        <f>"81.12"</f>
        <v>81.12</v>
      </c>
      <c r="D1140" t="s">
        <v>2595</v>
      </c>
    </row>
    <row r="1141" spans="1:4" x14ac:dyDescent="0.55000000000000004">
      <c r="A1141" t="s">
        <v>2492</v>
      </c>
      <c r="B1141" t="s">
        <v>2493</v>
      </c>
      <c r="C1141" t="str">
        <f>"81.13"</f>
        <v>81.13</v>
      </c>
      <c r="D1141" t="s">
        <v>2596</v>
      </c>
    </row>
    <row r="1142" spans="1:4" x14ac:dyDescent="0.55000000000000004">
      <c r="A1142" t="s">
        <v>2492</v>
      </c>
      <c r="B1142" t="s">
        <v>2493</v>
      </c>
      <c r="C1142" t="str">
        <f>"81.14"</f>
        <v>81.14</v>
      </c>
      <c r="D1142" t="s">
        <v>2597</v>
      </c>
    </row>
    <row r="1143" spans="1:4" x14ac:dyDescent="0.55000000000000004">
      <c r="A1143" t="s">
        <v>2492</v>
      </c>
      <c r="B1143" t="s">
        <v>2493</v>
      </c>
      <c r="C1143" t="str">
        <f>"81.15"</f>
        <v>81.15</v>
      </c>
      <c r="D1143" t="s">
        <v>2598</v>
      </c>
    </row>
    <row r="1144" spans="1:4" x14ac:dyDescent="0.55000000000000004">
      <c r="A1144" t="s">
        <v>2492</v>
      </c>
      <c r="B1144" t="s">
        <v>2493</v>
      </c>
      <c r="C1144" t="str">
        <f>"81.16"</f>
        <v>81.16</v>
      </c>
      <c r="D1144" t="s">
        <v>2599</v>
      </c>
    </row>
    <row r="1145" spans="1:4" x14ac:dyDescent="0.55000000000000004">
      <c r="A1145" t="s">
        <v>2492</v>
      </c>
      <c r="B1145" t="s">
        <v>2493</v>
      </c>
      <c r="C1145" t="str">
        <f>"81.17"</f>
        <v>81.17</v>
      </c>
      <c r="D1145" t="s">
        <v>2600</v>
      </c>
    </row>
    <row r="1146" spans="1:4" x14ac:dyDescent="0.55000000000000004">
      <c r="A1146" t="s">
        <v>2492</v>
      </c>
      <c r="B1146" t="s">
        <v>2493</v>
      </c>
      <c r="C1146" t="str">
        <f>"81.18"</f>
        <v>81.18</v>
      </c>
      <c r="D1146" t="s">
        <v>2601</v>
      </c>
    </row>
    <row r="1147" spans="1:4" x14ac:dyDescent="0.55000000000000004">
      <c r="A1147" t="s">
        <v>2492</v>
      </c>
      <c r="B1147" t="s">
        <v>2493</v>
      </c>
      <c r="C1147" t="str">
        <f>"81.21"</f>
        <v>81.21</v>
      </c>
      <c r="D1147" t="s">
        <v>2602</v>
      </c>
    </row>
    <row r="1148" spans="1:4" x14ac:dyDescent="0.55000000000000004">
      <c r="A1148" t="s">
        <v>2492</v>
      </c>
      <c r="B1148" t="s">
        <v>2493</v>
      </c>
      <c r="C1148" t="str">
        <f>"81.22"</f>
        <v>81.22</v>
      </c>
      <c r="D1148" t="s">
        <v>2603</v>
      </c>
    </row>
    <row r="1149" spans="1:4" x14ac:dyDescent="0.55000000000000004">
      <c r="A1149" t="s">
        <v>2492</v>
      </c>
      <c r="B1149" t="s">
        <v>2493</v>
      </c>
      <c r="C1149" t="str">
        <f>"81.40"</f>
        <v>81.40</v>
      </c>
      <c r="D1149" t="s">
        <v>2604</v>
      </c>
    </row>
    <row r="1150" spans="1:4" x14ac:dyDescent="0.55000000000000004">
      <c r="A1150" t="s">
        <v>2492</v>
      </c>
      <c r="B1150" t="s">
        <v>2493</v>
      </c>
      <c r="C1150" t="str">
        <f>"81.42"</f>
        <v>81.42</v>
      </c>
      <c r="D1150" t="s">
        <v>2605</v>
      </c>
    </row>
    <row r="1151" spans="1:4" x14ac:dyDescent="0.55000000000000004">
      <c r="A1151" t="s">
        <v>2492</v>
      </c>
      <c r="B1151" t="s">
        <v>2493</v>
      </c>
      <c r="C1151" t="str">
        <f>"81.43"</f>
        <v>81.43</v>
      </c>
      <c r="D1151" t="s">
        <v>2606</v>
      </c>
    </row>
    <row r="1152" spans="1:4" x14ac:dyDescent="0.55000000000000004">
      <c r="A1152" t="s">
        <v>2492</v>
      </c>
      <c r="B1152" t="s">
        <v>2493</v>
      </c>
      <c r="C1152" t="str">
        <f>"81.44"</f>
        <v>81.44</v>
      </c>
      <c r="D1152" t="s">
        <v>2607</v>
      </c>
    </row>
    <row r="1153" spans="1:4" x14ac:dyDescent="0.55000000000000004">
      <c r="A1153" t="s">
        <v>2492</v>
      </c>
      <c r="B1153" t="s">
        <v>2493</v>
      </c>
      <c r="C1153" t="str">
        <f>"81.45"</f>
        <v>81.45</v>
      </c>
      <c r="D1153" t="s">
        <v>2608</v>
      </c>
    </row>
    <row r="1154" spans="1:4" x14ac:dyDescent="0.55000000000000004">
      <c r="A1154" t="s">
        <v>2492</v>
      </c>
      <c r="B1154" t="s">
        <v>2493</v>
      </c>
      <c r="C1154" t="str">
        <f>"81.46"</f>
        <v>81.46</v>
      </c>
      <c r="D1154" t="s">
        <v>2609</v>
      </c>
    </row>
    <row r="1155" spans="1:4" x14ac:dyDescent="0.55000000000000004">
      <c r="A1155" t="s">
        <v>2492</v>
      </c>
      <c r="B1155" t="s">
        <v>2493</v>
      </c>
      <c r="C1155" t="str">
        <f>"81.47"</f>
        <v>81.47</v>
      </c>
      <c r="D1155" t="s">
        <v>2610</v>
      </c>
    </row>
    <row r="1156" spans="1:4" x14ac:dyDescent="0.55000000000000004">
      <c r="A1156" t="s">
        <v>2492</v>
      </c>
      <c r="B1156" t="s">
        <v>2493</v>
      </c>
      <c r="C1156" t="str">
        <f>"81.49"</f>
        <v>81.49</v>
      </c>
      <c r="D1156" t="s">
        <v>2611</v>
      </c>
    </row>
    <row r="1157" spans="1:4" x14ac:dyDescent="0.55000000000000004">
      <c r="A1157" t="s">
        <v>2492</v>
      </c>
      <c r="B1157" t="s">
        <v>2493</v>
      </c>
      <c r="C1157" t="str">
        <f>"81.51"</f>
        <v>81.51</v>
      </c>
      <c r="D1157" t="s">
        <v>2612</v>
      </c>
    </row>
    <row r="1158" spans="1:4" x14ac:dyDescent="0.55000000000000004">
      <c r="A1158" t="s">
        <v>2492</v>
      </c>
      <c r="B1158" t="s">
        <v>2493</v>
      </c>
      <c r="C1158" t="str">
        <f>"81.52"</f>
        <v>81.52</v>
      </c>
      <c r="D1158" t="s">
        <v>2613</v>
      </c>
    </row>
    <row r="1159" spans="1:4" x14ac:dyDescent="0.55000000000000004">
      <c r="A1159" t="s">
        <v>2492</v>
      </c>
      <c r="B1159" t="s">
        <v>2493</v>
      </c>
      <c r="C1159" t="str">
        <f>"81.53"</f>
        <v>81.53</v>
      </c>
      <c r="D1159" t="s">
        <v>2614</v>
      </c>
    </row>
    <row r="1160" spans="1:4" x14ac:dyDescent="0.55000000000000004">
      <c r="A1160" t="s">
        <v>2492</v>
      </c>
      <c r="B1160" t="s">
        <v>2493</v>
      </c>
      <c r="C1160" t="str">
        <f>"81.54"</f>
        <v>81.54</v>
      </c>
      <c r="D1160" t="s">
        <v>2615</v>
      </c>
    </row>
    <row r="1161" spans="1:4" x14ac:dyDescent="0.55000000000000004">
      <c r="A1161" t="s">
        <v>2492</v>
      </c>
      <c r="B1161" t="s">
        <v>2493</v>
      </c>
      <c r="C1161" t="str">
        <f>"81.55"</f>
        <v>81.55</v>
      </c>
      <c r="D1161" t="s">
        <v>2616</v>
      </c>
    </row>
    <row r="1162" spans="1:4" x14ac:dyDescent="0.55000000000000004">
      <c r="A1162" t="s">
        <v>2492</v>
      </c>
      <c r="B1162" t="s">
        <v>2493</v>
      </c>
      <c r="C1162" t="str">
        <f>"81.56"</f>
        <v>81.56</v>
      </c>
      <c r="D1162" t="s">
        <v>2617</v>
      </c>
    </row>
    <row r="1163" spans="1:4" x14ac:dyDescent="0.55000000000000004">
      <c r="A1163" t="s">
        <v>2492</v>
      </c>
      <c r="B1163" t="s">
        <v>2493</v>
      </c>
      <c r="C1163" t="str">
        <f>"81.57"</f>
        <v>81.57</v>
      </c>
      <c r="D1163" t="s">
        <v>2618</v>
      </c>
    </row>
    <row r="1164" spans="1:4" x14ac:dyDescent="0.55000000000000004">
      <c r="A1164" t="s">
        <v>2492</v>
      </c>
      <c r="B1164" t="s">
        <v>2493</v>
      </c>
      <c r="C1164" t="str">
        <f>"81.59"</f>
        <v>81.59</v>
      </c>
      <c r="D1164" t="s">
        <v>2619</v>
      </c>
    </row>
    <row r="1165" spans="1:4" x14ac:dyDescent="0.55000000000000004">
      <c r="A1165" t="s">
        <v>2492</v>
      </c>
      <c r="B1165" t="s">
        <v>2493</v>
      </c>
      <c r="C1165" t="str">
        <f>"81.94"</f>
        <v>81.94</v>
      </c>
      <c r="D1165" t="s">
        <v>2620</v>
      </c>
    </row>
    <row r="1166" spans="1:4" x14ac:dyDescent="0.55000000000000004">
      <c r="A1166" t="s">
        <v>2492</v>
      </c>
      <c r="B1166" t="s">
        <v>2493</v>
      </c>
      <c r="C1166" t="str">
        <f>"81.95"</f>
        <v>81.95</v>
      </c>
      <c r="D1166" t="s">
        <v>2621</v>
      </c>
    </row>
    <row r="1167" spans="1:4" x14ac:dyDescent="0.55000000000000004">
      <c r="A1167" t="s">
        <v>2492</v>
      </c>
      <c r="B1167" t="s">
        <v>2493</v>
      </c>
      <c r="C1167" t="str">
        <f>"83.11"</f>
        <v>83.11</v>
      </c>
      <c r="D1167" t="s">
        <v>2622</v>
      </c>
    </row>
    <row r="1168" spans="1:4" x14ac:dyDescent="0.55000000000000004">
      <c r="A1168" t="s">
        <v>2492</v>
      </c>
      <c r="B1168" t="s">
        <v>2493</v>
      </c>
      <c r="C1168" t="str">
        <f>"83.12"</f>
        <v>83.12</v>
      </c>
      <c r="D1168" t="s">
        <v>2623</v>
      </c>
    </row>
    <row r="1169" spans="1:4" x14ac:dyDescent="0.55000000000000004">
      <c r="A1169" t="s">
        <v>2492</v>
      </c>
      <c r="B1169" t="s">
        <v>2493</v>
      </c>
      <c r="C1169" t="str">
        <f>"83.86"</f>
        <v>83.86</v>
      </c>
      <c r="D1169" t="s">
        <v>2624</v>
      </c>
    </row>
    <row r="1170" spans="1:4" x14ac:dyDescent="0.55000000000000004">
      <c r="A1170" t="s">
        <v>2492</v>
      </c>
      <c r="B1170" t="s">
        <v>2493</v>
      </c>
      <c r="C1170" t="str">
        <f>"84.10"</f>
        <v>84.10</v>
      </c>
      <c r="D1170" t="s">
        <v>2625</v>
      </c>
    </row>
    <row r="1171" spans="1:4" x14ac:dyDescent="0.55000000000000004">
      <c r="A1171" t="s">
        <v>2492</v>
      </c>
      <c r="B1171" t="s">
        <v>2493</v>
      </c>
      <c r="C1171" t="str">
        <f>"84.11"</f>
        <v>84.11</v>
      </c>
      <c r="D1171" t="s">
        <v>2626</v>
      </c>
    </row>
    <row r="1172" spans="1:4" x14ac:dyDescent="0.55000000000000004">
      <c r="A1172" t="s">
        <v>2492</v>
      </c>
      <c r="B1172" t="s">
        <v>2493</v>
      </c>
      <c r="C1172" t="str">
        <f>"84.12"</f>
        <v>84.12</v>
      </c>
      <c r="D1172" t="s">
        <v>2627</v>
      </c>
    </row>
    <row r="1173" spans="1:4" x14ac:dyDescent="0.55000000000000004">
      <c r="A1173" t="s">
        <v>2492</v>
      </c>
      <c r="B1173" t="s">
        <v>2493</v>
      </c>
      <c r="C1173" t="str">
        <f>"84.13"</f>
        <v>84.13</v>
      </c>
      <c r="D1173" t="s">
        <v>2628</v>
      </c>
    </row>
    <row r="1174" spans="1:4" x14ac:dyDescent="0.55000000000000004">
      <c r="A1174" t="s">
        <v>2492</v>
      </c>
      <c r="B1174" t="s">
        <v>2493</v>
      </c>
      <c r="C1174" t="str">
        <f>"84.14"</f>
        <v>84.14</v>
      </c>
      <c r="D1174" t="s">
        <v>2629</v>
      </c>
    </row>
    <row r="1175" spans="1:4" x14ac:dyDescent="0.55000000000000004">
      <c r="A1175" t="s">
        <v>2492</v>
      </c>
      <c r="B1175" t="s">
        <v>2493</v>
      </c>
      <c r="C1175" t="str">
        <f>"84.15"</f>
        <v>84.15</v>
      </c>
      <c r="D1175" t="s">
        <v>2630</v>
      </c>
    </row>
    <row r="1176" spans="1:4" x14ac:dyDescent="0.55000000000000004">
      <c r="A1176" t="s">
        <v>2492</v>
      </c>
      <c r="B1176" t="s">
        <v>2493</v>
      </c>
      <c r="C1176" t="str">
        <f>"84.16"</f>
        <v>84.16</v>
      </c>
      <c r="D1176" t="s">
        <v>2631</v>
      </c>
    </row>
    <row r="1177" spans="1:4" x14ac:dyDescent="0.55000000000000004">
      <c r="A1177" t="s">
        <v>2492</v>
      </c>
      <c r="B1177" t="s">
        <v>2493</v>
      </c>
      <c r="C1177" t="str">
        <f>"84.17"</f>
        <v>84.17</v>
      </c>
      <c r="D1177" t="s">
        <v>2632</v>
      </c>
    </row>
    <row r="1178" spans="1:4" x14ac:dyDescent="0.55000000000000004">
      <c r="A1178" t="s">
        <v>2492</v>
      </c>
      <c r="B1178" t="s">
        <v>2493</v>
      </c>
      <c r="C1178" t="str">
        <f>"84.18"</f>
        <v>84.18</v>
      </c>
      <c r="D1178" t="s">
        <v>2633</v>
      </c>
    </row>
    <row r="1179" spans="1:4" x14ac:dyDescent="0.55000000000000004">
      <c r="A1179" t="s">
        <v>2492</v>
      </c>
      <c r="B1179" t="s">
        <v>2493</v>
      </c>
      <c r="C1179" t="str">
        <f>"84.19"</f>
        <v>84.19</v>
      </c>
      <c r="D1179" t="s">
        <v>2634</v>
      </c>
    </row>
    <row r="1180" spans="1:4" x14ac:dyDescent="0.55000000000000004">
      <c r="A1180" t="s">
        <v>2492</v>
      </c>
      <c r="B1180" t="s">
        <v>2493</v>
      </c>
      <c r="C1180" t="str">
        <f>"84.25"</f>
        <v>84.25</v>
      </c>
      <c r="D1180" t="s">
        <v>2635</v>
      </c>
    </row>
    <row r="1181" spans="1:4" x14ac:dyDescent="0.55000000000000004">
      <c r="A1181" t="s">
        <v>2492</v>
      </c>
      <c r="B1181" t="s">
        <v>2493</v>
      </c>
      <c r="C1181" t="str">
        <f>"84.26"</f>
        <v>84.26</v>
      </c>
      <c r="D1181" t="s">
        <v>2636</v>
      </c>
    </row>
    <row r="1182" spans="1:4" x14ac:dyDescent="0.55000000000000004">
      <c r="A1182" t="s">
        <v>2492</v>
      </c>
      <c r="B1182" t="s">
        <v>2493</v>
      </c>
      <c r="C1182" t="str">
        <f>"84.27"</f>
        <v>84.27</v>
      </c>
      <c r="D1182" t="s">
        <v>2637</v>
      </c>
    </row>
    <row r="1183" spans="1:4" x14ac:dyDescent="0.55000000000000004">
      <c r="A1183" t="s">
        <v>2492</v>
      </c>
      <c r="B1183" t="s">
        <v>2493</v>
      </c>
      <c r="C1183" t="str">
        <f>"84.28"</f>
        <v>84.28</v>
      </c>
      <c r="D1183" t="s">
        <v>2638</v>
      </c>
    </row>
    <row r="1184" spans="1:4" x14ac:dyDescent="0.55000000000000004">
      <c r="A1184" t="s">
        <v>2492</v>
      </c>
      <c r="B1184" t="s">
        <v>2493</v>
      </c>
      <c r="C1184" t="str">
        <f>"84.48"</f>
        <v>84.48</v>
      </c>
      <c r="D1184" t="s">
        <v>2639</v>
      </c>
    </row>
    <row r="1185" spans="1:4" x14ac:dyDescent="0.55000000000000004">
      <c r="A1185" t="s">
        <v>2640</v>
      </c>
      <c r="B1185" t="s">
        <v>2641</v>
      </c>
      <c r="C1185" t="str">
        <f>"27.55"</f>
        <v>27.55</v>
      </c>
      <c r="D1185" t="s">
        <v>2642</v>
      </c>
    </row>
    <row r="1186" spans="1:4" x14ac:dyDescent="0.55000000000000004">
      <c r="A1186" t="s">
        <v>2640</v>
      </c>
      <c r="B1186" t="s">
        <v>2641</v>
      </c>
      <c r="C1186" t="str">
        <f>"27.56"</f>
        <v>27.56</v>
      </c>
      <c r="D1186" t="s">
        <v>2643</v>
      </c>
    </row>
    <row r="1187" spans="1:4" x14ac:dyDescent="0.55000000000000004">
      <c r="A1187" t="s">
        <v>2640</v>
      </c>
      <c r="B1187" t="s">
        <v>2641</v>
      </c>
      <c r="C1187" t="str">
        <f>"27.57"</f>
        <v>27.57</v>
      </c>
      <c r="D1187" t="s">
        <v>2644</v>
      </c>
    </row>
    <row r="1188" spans="1:4" x14ac:dyDescent="0.55000000000000004">
      <c r="A1188" t="s">
        <v>2640</v>
      </c>
      <c r="B1188" t="s">
        <v>2641</v>
      </c>
      <c r="C1188" t="str">
        <f>"85.82"</f>
        <v>85.82</v>
      </c>
      <c r="D1188" t="s">
        <v>2645</v>
      </c>
    </row>
    <row r="1189" spans="1:4" x14ac:dyDescent="0.55000000000000004">
      <c r="A1189" t="s">
        <v>2640</v>
      </c>
      <c r="B1189" t="s">
        <v>2641</v>
      </c>
      <c r="C1189" t="str">
        <f>"85.83"</f>
        <v>85.83</v>
      </c>
      <c r="D1189" t="s">
        <v>2646</v>
      </c>
    </row>
    <row r="1190" spans="1:4" x14ac:dyDescent="0.55000000000000004">
      <c r="A1190" t="s">
        <v>2640</v>
      </c>
      <c r="B1190" t="s">
        <v>2641</v>
      </c>
      <c r="C1190" t="str">
        <f>"85.84"</f>
        <v>85.84</v>
      </c>
      <c r="D1190" t="s">
        <v>2647</v>
      </c>
    </row>
    <row r="1191" spans="1:4" x14ac:dyDescent="0.55000000000000004">
      <c r="A1191" t="s">
        <v>2640</v>
      </c>
      <c r="B1191" t="s">
        <v>2641</v>
      </c>
      <c r="C1191" t="str">
        <f>"85.85"</f>
        <v>85.85</v>
      </c>
      <c r="D1191" t="s">
        <v>2648</v>
      </c>
    </row>
    <row r="1192" spans="1:4" x14ac:dyDescent="0.55000000000000004">
      <c r="A1192" t="s">
        <v>2640</v>
      </c>
      <c r="B1192" t="s">
        <v>2641</v>
      </c>
      <c r="C1192" t="str">
        <f>"86.22"</f>
        <v>86.22</v>
      </c>
      <c r="D1192" t="s">
        <v>2649</v>
      </c>
    </row>
    <row r="1193" spans="1:4" x14ac:dyDescent="0.55000000000000004">
      <c r="A1193" t="s">
        <v>2640</v>
      </c>
      <c r="B1193" t="s">
        <v>2641</v>
      </c>
      <c r="C1193" t="str">
        <f>"86.60"</f>
        <v>86.60</v>
      </c>
      <c r="D1193" t="s">
        <v>2650</v>
      </c>
    </row>
    <row r="1194" spans="1:4" x14ac:dyDescent="0.55000000000000004">
      <c r="A1194" t="s">
        <v>2640</v>
      </c>
      <c r="B1194" t="s">
        <v>2641</v>
      </c>
      <c r="C1194" t="str">
        <f>"86.61"</f>
        <v>86.61</v>
      </c>
      <c r="D1194" t="s">
        <v>2651</v>
      </c>
    </row>
    <row r="1195" spans="1:4" x14ac:dyDescent="0.55000000000000004">
      <c r="A1195" t="s">
        <v>2640</v>
      </c>
      <c r="B1195" t="s">
        <v>2641</v>
      </c>
      <c r="C1195" t="str">
        <f>"86.62"</f>
        <v>86.62</v>
      </c>
      <c r="D1195" t="s">
        <v>2652</v>
      </c>
    </row>
    <row r="1196" spans="1:4" x14ac:dyDescent="0.55000000000000004">
      <c r="A1196" t="s">
        <v>2640</v>
      </c>
      <c r="B1196" t="s">
        <v>2641</v>
      </c>
      <c r="C1196" t="str">
        <f>"86.63"</f>
        <v>86.63</v>
      </c>
      <c r="D1196" t="s">
        <v>2653</v>
      </c>
    </row>
    <row r="1197" spans="1:4" x14ac:dyDescent="0.55000000000000004">
      <c r="A1197" t="s">
        <v>2640</v>
      </c>
      <c r="B1197" t="s">
        <v>2641</v>
      </c>
      <c r="C1197" t="str">
        <f>"86.630"</f>
        <v>86.630</v>
      </c>
      <c r="D1197" t="s">
        <v>2654</v>
      </c>
    </row>
    <row r="1198" spans="1:4" x14ac:dyDescent="0.55000000000000004">
      <c r="A1198" t="s">
        <v>2640</v>
      </c>
      <c r="B1198" t="s">
        <v>2641</v>
      </c>
      <c r="C1198" t="str">
        <f>"86.631"</f>
        <v>86.631</v>
      </c>
      <c r="D1198" t="s">
        <v>2655</v>
      </c>
    </row>
    <row r="1199" spans="1:4" x14ac:dyDescent="0.55000000000000004">
      <c r="A1199" t="s">
        <v>2640</v>
      </c>
      <c r="B1199" t="s">
        <v>2641</v>
      </c>
      <c r="C1199" t="str">
        <f>"86.65"</f>
        <v>86.65</v>
      </c>
      <c r="D1199" t="s">
        <v>2656</v>
      </c>
    </row>
    <row r="1200" spans="1:4" x14ac:dyDescent="0.55000000000000004">
      <c r="A1200" t="s">
        <v>2640</v>
      </c>
      <c r="B1200" t="s">
        <v>2641</v>
      </c>
      <c r="C1200" t="str">
        <f>"86.66"</f>
        <v>86.66</v>
      </c>
      <c r="D1200" t="s">
        <v>2657</v>
      </c>
    </row>
    <row r="1201" spans="1:4" x14ac:dyDescent="0.55000000000000004">
      <c r="A1201" t="s">
        <v>2640</v>
      </c>
      <c r="B1201" t="s">
        <v>2641</v>
      </c>
      <c r="C1201" t="str">
        <f>"86.67"</f>
        <v>86.67</v>
      </c>
      <c r="D1201" t="s">
        <v>2658</v>
      </c>
    </row>
    <row r="1202" spans="1:4" x14ac:dyDescent="0.55000000000000004">
      <c r="A1202" t="s">
        <v>2640</v>
      </c>
      <c r="B1202" t="s">
        <v>2641</v>
      </c>
      <c r="C1202" t="str">
        <f>"86.69"</f>
        <v>86.69</v>
      </c>
      <c r="D1202" t="s">
        <v>2659</v>
      </c>
    </row>
    <row r="1203" spans="1:4" x14ac:dyDescent="0.55000000000000004">
      <c r="A1203" t="s">
        <v>2640</v>
      </c>
      <c r="B1203" t="s">
        <v>2641</v>
      </c>
      <c r="C1203" t="str">
        <f>"86.70"</f>
        <v>86.70</v>
      </c>
      <c r="D1203" t="s">
        <v>2660</v>
      </c>
    </row>
    <row r="1204" spans="1:4" x14ac:dyDescent="0.55000000000000004">
      <c r="A1204" t="s">
        <v>2640</v>
      </c>
      <c r="B1204" t="s">
        <v>2641</v>
      </c>
      <c r="C1204" t="str">
        <f>"86.71"</f>
        <v>86.71</v>
      </c>
      <c r="D1204" t="s">
        <v>2661</v>
      </c>
    </row>
    <row r="1205" spans="1:4" x14ac:dyDescent="0.55000000000000004">
      <c r="A1205" t="s">
        <v>2640</v>
      </c>
      <c r="B1205" t="s">
        <v>2641</v>
      </c>
      <c r="C1205" t="str">
        <f>"86.710"</f>
        <v>86.710</v>
      </c>
      <c r="D1205" t="s">
        <v>2662</v>
      </c>
    </row>
    <row r="1206" spans="1:4" x14ac:dyDescent="0.55000000000000004">
      <c r="A1206" t="s">
        <v>2640</v>
      </c>
      <c r="B1206" t="s">
        <v>2641</v>
      </c>
      <c r="C1206" t="str">
        <f>"86.72"</f>
        <v>86.72</v>
      </c>
      <c r="D1206" t="s">
        <v>2663</v>
      </c>
    </row>
    <row r="1207" spans="1:4" x14ac:dyDescent="0.55000000000000004">
      <c r="A1207" t="s">
        <v>2640</v>
      </c>
      <c r="B1207" t="s">
        <v>2641</v>
      </c>
      <c r="C1207" t="str">
        <f>"86.73"</f>
        <v>86.73</v>
      </c>
      <c r="D1207" t="s">
        <v>2664</v>
      </c>
    </row>
    <row r="1208" spans="1:4" x14ac:dyDescent="0.55000000000000004">
      <c r="A1208" t="s">
        <v>2640</v>
      </c>
      <c r="B1208" t="s">
        <v>2641</v>
      </c>
      <c r="C1208" t="str">
        <f>"86.74"</f>
        <v>86.74</v>
      </c>
      <c r="D1208" t="s">
        <v>2665</v>
      </c>
    </row>
    <row r="1209" spans="1:4" x14ac:dyDescent="0.55000000000000004">
      <c r="A1209" t="s">
        <v>2640</v>
      </c>
      <c r="B1209" t="s">
        <v>2641</v>
      </c>
      <c r="C1209" t="str">
        <f>"86.740"</f>
        <v>86.740</v>
      </c>
      <c r="D1209" t="s">
        <v>2666</v>
      </c>
    </row>
    <row r="1210" spans="1:4" x14ac:dyDescent="0.55000000000000004">
      <c r="A1210" t="s">
        <v>2640</v>
      </c>
      <c r="B1210" t="s">
        <v>2641</v>
      </c>
      <c r="C1210" t="str">
        <f>"86.741"</f>
        <v>86.741</v>
      </c>
      <c r="D1210" t="s">
        <v>2667</v>
      </c>
    </row>
    <row r="1211" spans="1:4" x14ac:dyDescent="0.55000000000000004">
      <c r="A1211" t="s">
        <v>2640</v>
      </c>
      <c r="B1211" t="s">
        <v>2641</v>
      </c>
      <c r="C1211" t="str">
        <f>"86.742"</f>
        <v>86.742</v>
      </c>
      <c r="D1211" t="s">
        <v>2668</v>
      </c>
    </row>
    <row r="1212" spans="1:4" x14ac:dyDescent="0.55000000000000004">
      <c r="A1212" t="s">
        <v>2640</v>
      </c>
      <c r="B1212" t="s">
        <v>2641</v>
      </c>
      <c r="C1212" t="str">
        <f>"86.743"</f>
        <v>86.743</v>
      </c>
      <c r="D1212" t="s">
        <v>2669</v>
      </c>
    </row>
    <row r="1213" spans="1:4" x14ac:dyDescent="0.55000000000000004">
      <c r="A1213" t="s">
        <v>2640</v>
      </c>
      <c r="B1213" t="s">
        <v>2641</v>
      </c>
      <c r="C1213" t="str">
        <f>"86.75"</f>
        <v>86.75</v>
      </c>
      <c r="D1213" t="s">
        <v>2670</v>
      </c>
    </row>
    <row r="1214" spans="1:4" x14ac:dyDescent="0.55000000000000004">
      <c r="A1214" t="s">
        <v>2640</v>
      </c>
      <c r="B1214" t="s">
        <v>2641</v>
      </c>
      <c r="C1214" t="str">
        <f>"86.89"</f>
        <v>86.89</v>
      </c>
      <c r="D1214" t="s">
        <v>2671</v>
      </c>
    </row>
    <row r="1215" spans="1:4" x14ac:dyDescent="0.55000000000000004">
      <c r="A1215" t="s">
        <v>2640</v>
      </c>
      <c r="B1215" t="s">
        <v>2641</v>
      </c>
      <c r="C1215" t="str">
        <f>"86.91"</f>
        <v>86.91</v>
      </c>
      <c r="D1215" t="s">
        <v>2672</v>
      </c>
    </row>
    <row r="1216" spans="1:4" x14ac:dyDescent="0.55000000000000004">
      <c r="A1216" t="s">
        <v>2640</v>
      </c>
      <c r="B1216" t="s">
        <v>2641</v>
      </c>
      <c r="C1216" t="str">
        <f>"86.93"</f>
        <v>86.93</v>
      </c>
      <c r="D1216" t="s">
        <v>2673</v>
      </c>
    </row>
    <row r="1217" spans="1:4" x14ac:dyDescent="0.55000000000000004">
      <c r="A1217" t="s">
        <v>2674</v>
      </c>
      <c r="B1217" t="s">
        <v>2675</v>
      </c>
      <c r="C1217" t="str">
        <f>"04.3"</f>
        <v>04.3</v>
      </c>
      <c r="D1217" t="s">
        <v>2676</v>
      </c>
    </row>
    <row r="1218" spans="1:4" x14ac:dyDescent="0.55000000000000004">
      <c r="A1218" t="s">
        <v>2674</v>
      </c>
      <c r="B1218" t="s">
        <v>2675</v>
      </c>
      <c r="C1218" t="str">
        <f>"04.5"</f>
        <v>04.5</v>
      </c>
      <c r="D1218" t="s">
        <v>2677</v>
      </c>
    </row>
    <row r="1219" spans="1:4" x14ac:dyDescent="0.55000000000000004">
      <c r="A1219" t="s">
        <v>2674</v>
      </c>
      <c r="B1219" t="s">
        <v>2675</v>
      </c>
      <c r="C1219" t="str">
        <f>"04.6"</f>
        <v>04.6</v>
      </c>
      <c r="D1219" t="s">
        <v>2678</v>
      </c>
    </row>
    <row r="1220" spans="1:4" x14ac:dyDescent="0.55000000000000004">
      <c r="A1220" t="s">
        <v>2674</v>
      </c>
      <c r="B1220" t="s">
        <v>2675</v>
      </c>
      <c r="C1220" t="str">
        <f>"04.74"</f>
        <v>04.74</v>
      </c>
      <c r="D1220" t="s">
        <v>2679</v>
      </c>
    </row>
    <row r="1221" spans="1:4" x14ac:dyDescent="0.55000000000000004">
      <c r="A1221" t="s">
        <v>2674</v>
      </c>
      <c r="B1221" t="s">
        <v>2675</v>
      </c>
      <c r="C1221" t="str">
        <f>"04.75"</f>
        <v>04.75</v>
      </c>
      <c r="D1221" t="s">
        <v>2680</v>
      </c>
    </row>
    <row r="1222" spans="1:4" x14ac:dyDescent="0.55000000000000004">
      <c r="A1222" t="s">
        <v>2674</v>
      </c>
      <c r="B1222" t="s">
        <v>2675</v>
      </c>
      <c r="C1222" t="str">
        <f>"04.76"</f>
        <v>04.76</v>
      </c>
      <c r="D1222" t="s">
        <v>2681</v>
      </c>
    </row>
    <row r="1223" spans="1:4" x14ac:dyDescent="0.55000000000000004">
      <c r="A1223" t="s">
        <v>2674</v>
      </c>
      <c r="B1223" t="s">
        <v>2675</v>
      </c>
      <c r="C1223" t="str">
        <f>"04.79"</f>
        <v>04.79</v>
      </c>
      <c r="D1223" t="s">
        <v>2682</v>
      </c>
    </row>
    <row r="1224" spans="1:4" x14ac:dyDescent="0.55000000000000004">
      <c r="A1224" t="s">
        <v>2674</v>
      </c>
      <c r="B1224" t="s">
        <v>2675</v>
      </c>
      <c r="C1224" t="str">
        <f>"05.81"</f>
        <v>05.81</v>
      </c>
      <c r="D1224" t="s">
        <v>2683</v>
      </c>
    </row>
    <row r="1225" spans="1:4" x14ac:dyDescent="0.55000000000000004">
      <c r="A1225" t="s">
        <v>2674</v>
      </c>
      <c r="B1225" t="s">
        <v>2675</v>
      </c>
      <c r="C1225" t="str">
        <f>"06.02"</f>
        <v>06.02</v>
      </c>
      <c r="D1225" t="s">
        <v>2684</v>
      </c>
    </row>
    <row r="1226" spans="1:4" x14ac:dyDescent="0.55000000000000004">
      <c r="A1226" t="s">
        <v>2674</v>
      </c>
      <c r="B1226" t="s">
        <v>2675</v>
      </c>
      <c r="C1226" t="str">
        <f>"06.92"</f>
        <v>06.92</v>
      </c>
      <c r="D1226" t="s">
        <v>2685</v>
      </c>
    </row>
    <row r="1227" spans="1:4" x14ac:dyDescent="0.55000000000000004">
      <c r="A1227" t="s">
        <v>2674</v>
      </c>
      <c r="B1227" t="s">
        <v>2675</v>
      </c>
      <c r="C1227" t="str">
        <f>"06.93"</f>
        <v>06.93</v>
      </c>
      <c r="D1227" t="s">
        <v>2686</v>
      </c>
    </row>
    <row r="1228" spans="1:4" x14ac:dyDescent="0.55000000000000004">
      <c r="A1228" t="s">
        <v>2674</v>
      </c>
      <c r="B1228" t="s">
        <v>2675</v>
      </c>
      <c r="C1228" t="str">
        <f>"06.94"</f>
        <v>06.94</v>
      </c>
      <c r="D1228" t="s">
        <v>2687</v>
      </c>
    </row>
    <row r="1229" spans="1:4" x14ac:dyDescent="0.55000000000000004">
      <c r="A1229" t="s">
        <v>2674</v>
      </c>
      <c r="B1229" t="s">
        <v>2675</v>
      </c>
      <c r="C1229" t="str">
        <f>"06.95"</f>
        <v>06.95</v>
      </c>
      <c r="D1229" t="s">
        <v>2688</v>
      </c>
    </row>
    <row r="1230" spans="1:4" x14ac:dyDescent="0.55000000000000004">
      <c r="A1230" t="s">
        <v>2674</v>
      </c>
      <c r="B1230" t="s">
        <v>2675</v>
      </c>
      <c r="C1230" t="str">
        <f>"08.52"</f>
        <v>08.52</v>
      </c>
      <c r="D1230" t="s">
        <v>2689</v>
      </c>
    </row>
    <row r="1231" spans="1:4" x14ac:dyDescent="0.55000000000000004">
      <c r="A1231" t="s">
        <v>2674</v>
      </c>
      <c r="B1231" t="s">
        <v>2675</v>
      </c>
      <c r="C1231" t="str">
        <f>"08.59"</f>
        <v>08.59</v>
      </c>
      <c r="D1231" t="s">
        <v>2690</v>
      </c>
    </row>
    <row r="1232" spans="1:4" x14ac:dyDescent="0.55000000000000004">
      <c r="A1232" t="s">
        <v>2674</v>
      </c>
      <c r="B1232" t="s">
        <v>2675</v>
      </c>
      <c r="C1232" t="str">
        <f>"08.61"</f>
        <v>08.61</v>
      </c>
      <c r="D1232" t="s">
        <v>2691</v>
      </c>
    </row>
    <row r="1233" spans="1:4" x14ac:dyDescent="0.55000000000000004">
      <c r="A1233" t="s">
        <v>2674</v>
      </c>
      <c r="B1233" t="s">
        <v>2675</v>
      </c>
      <c r="C1233" t="str">
        <f>"08.62"</f>
        <v>08.62</v>
      </c>
      <c r="D1233" t="s">
        <v>2692</v>
      </c>
    </row>
    <row r="1234" spans="1:4" x14ac:dyDescent="0.55000000000000004">
      <c r="A1234" t="s">
        <v>2674</v>
      </c>
      <c r="B1234" t="s">
        <v>2675</v>
      </c>
      <c r="C1234" t="str">
        <f>"08.63"</f>
        <v>08.63</v>
      </c>
      <c r="D1234" t="s">
        <v>2693</v>
      </c>
    </row>
    <row r="1235" spans="1:4" x14ac:dyDescent="0.55000000000000004">
      <c r="A1235" t="s">
        <v>2674</v>
      </c>
      <c r="B1235" t="s">
        <v>2675</v>
      </c>
      <c r="C1235" t="str">
        <f>"08.64"</f>
        <v>08.64</v>
      </c>
      <c r="D1235" t="s">
        <v>2694</v>
      </c>
    </row>
    <row r="1236" spans="1:4" x14ac:dyDescent="0.55000000000000004">
      <c r="A1236" t="s">
        <v>2674</v>
      </c>
      <c r="B1236" t="s">
        <v>2675</v>
      </c>
      <c r="C1236" t="str">
        <f>"08.69"</f>
        <v>08.69</v>
      </c>
      <c r="D1236" t="s">
        <v>2695</v>
      </c>
    </row>
    <row r="1237" spans="1:4" x14ac:dyDescent="0.55000000000000004">
      <c r="A1237" t="s">
        <v>2674</v>
      </c>
      <c r="B1237" t="s">
        <v>2675</v>
      </c>
      <c r="C1237" t="str">
        <f>"08.70"</f>
        <v>08.70</v>
      </c>
      <c r="D1237" t="s">
        <v>2696</v>
      </c>
    </row>
    <row r="1238" spans="1:4" x14ac:dyDescent="0.55000000000000004">
      <c r="A1238" t="s">
        <v>2674</v>
      </c>
      <c r="B1238" t="s">
        <v>2675</v>
      </c>
      <c r="C1238" t="str">
        <f>"08.71"</f>
        <v>08.71</v>
      </c>
      <c r="D1238" t="s">
        <v>2697</v>
      </c>
    </row>
    <row r="1239" spans="1:4" x14ac:dyDescent="0.55000000000000004">
      <c r="A1239" t="s">
        <v>2674</v>
      </c>
      <c r="B1239" t="s">
        <v>2675</v>
      </c>
      <c r="C1239" t="str">
        <f>"08.72"</f>
        <v>08.72</v>
      </c>
      <c r="D1239" t="s">
        <v>2698</v>
      </c>
    </row>
    <row r="1240" spans="1:4" x14ac:dyDescent="0.55000000000000004">
      <c r="A1240" t="s">
        <v>2674</v>
      </c>
      <c r="B1240" t="s">
        <v>2675</v>
      </c>
      <c r="C1240" t="str">
        <f>"08.73"</f>
        <v>08.73</v>
      </c>
      <c r="D1240" t="s">
        <v>2699</v>
      </c>
    </row>
    <row r="1241" spans="1:4" x14ac:dyDescent="0.55000000000000004">
      <c r="A1241" t="s">
        <v>2674</v>
      </c>
      <c r="B1241" t="s">
        <v>2675</v>
      </c>
      <c r="C1241" t="str">
        <f>"08.74"</f>
        <v>08.74</v>
      </c>
      <c r="D1241" t="s">
        <v>2700</v>
      </c>
    </row>
    <row r="1242" spans="1:4" x14ac:dyDescent="0.55000000000000004">
      <c r="A1242" t="s">
        <v>2674</v>
      </c>
      <c r="B1242" t="s">
        <v>2675</v>
      </c>
      <c r="C1242" t="str">
        <f>"08.81"</f>
        <v>08.81</v>
      </c>
      <c r="D1242" t="s">
        <v>2701</v>
      </c>
    </row>
    <row r="1243" spans="1:4" x14ac:dyDescent="0.55000000000000004">
      <c r="A1243" t="s">
        <v>2674</v>
      </c>
      <c r="B1243" t="s">
        <v>2675</v>
      </c>
      <c r="C1243" t="str">
        <f>"08.82"</f>
        <v>08.82</v>
      </c>
      <c r="D1243" t="s">
        <v>2702</v>
      </c>
    </row>
    <row r="1244" spans="1:4" x14ac:dyDescent="0.55000000000000004">
      <c r="A1244" t="s">
        <v>2674</v>
      </c>
      <c r="B1244" t="s">
        <v>2675</v>
      </c>
      <c r="C1244" t="str">
        <f>"08.83"</f>
        <v>08.83</v>
      </c>
      <c r="D1244" t="s">
        <v>2703</v>
      </c>
    </row>
    <row r="1245" spans="1:4" x14ac:dyDescent="0.55000000000000004">
      <c r="A1245" t="s">
        <v>2674</v>
      </c>
      <c r="B1245" t="s">
        <v>2675</v>
      </c>
      <c r="C1245" t="str">
        <f>"08.84"</f>
        <v>08.84</v>
      </c>
      <c r="D1245" t="s">
        <v>2704</v>
      </c>
    </row>
    <row r="1246" spans="1:4" x14ac:dyDescent="0.55000000000000004">
      <c r="A1246" t="s">
        <v>2674</v>
      </c>
      <c r="B1246" t="s">
        <v>2675</v>
      </c>
      <c r="C1246" t="str">
        <f>"08.85"</f>
        <v>08.85</v>
      </c>
      <c r="D1246" t="s">
        <v>2705</v>
      </c>
    </row>
    <row r="1247" spans="1:4" x14ac:dyDescent="0.55000000000000004">
      <c r="A1247" t="s">
        <v>2674</v>
      </c>
      <c r="B1247" t="s">
        <v>2675</v>
      </c>
      <c r="C1247" t="str">
        <f>"08.89"</f>
        <v>08.89</v>
      </c>
      <c r="D1247" t="s">
        <v>2706</v>
      </c>
    </row>
    <row r="1248" spans="1:4" x14ac:dyDescent="0.55000000000000004">
      <c r="A1248" t="s">
        <v>2674</v>
      </c>
      <c r="B1248" t="s">
        <v>2675</v>
      </c>
      <c r="C1248" t="str">
        <f>"09.72"</f>
        <v>09.72</v>
      </c>
      <c r="D1248" t="s">
        <v>2707</v>
      </c>
    </row>
    <row r="1249" spans="1:4" x14ac:dyDescent="0.55000000000000004">
      <c r="A1249" t="s">
        <v>2674</v>
      </c>
      <c r="B1249" t="s">
        <v>2675</v>
      </c>
      <c r="C1249" t="str">
        <f>"09.73"</f>
        <v>09.73</v>
      </c>
      <c r="D1249" t="s">
        <v>2708</v>
      </c>
    </row>
    <row r="1250" spans="1:4" x14ac:dyDescent="0.55000000000000004">
      <c r="A1250" t="s">
        <v>2674</v>
      </c>
      <c r="B1250" t="s">
        <v>2675</v>
      </c>
      <c r="C1250" t="str">
        <f>"10.0"</f>
        <v>10.0</v>
      </c>
      <c r="D1250" t="s">
        <v>2709</v>
      </c>
    </row>
    <row r="1251" spans="1:4" x14ac:dyDescent="0.55000000000000004">
      <c r="A1251" t="s">
        <v>2674</v>
      </c>
      <c r="B1251" t="s">
        <v>2675</v>
      </c>
      <c r="C1251" t="str">
        <f>"10.6"</f>
        <v>10.6</v>
      </c>
      <c r="D1251" t="s">
        <v>2710</v>
      </c>
    </row>
    <row r="1252" spans="1:4" x14ac:dyDescent="0.55000000000000004">
      <c r="A1252" t="s">
        <v>2674</v>
      </c>
      <c r="B1252" t="s">
        <v>2675</v>
      </c>
      <c r="C1252" t="str">
        <f>"11.0"</f>
        <v>11.0</v>
      </c>
      <c r="D1252" t="s">
        <v>2711</v>
      </c>
    </row>
    <row r="1253" spans="1:4" x14ac:dyDescent="0.55000000000000004">
      <c r="A1253" t="s">
        <v>2674</v>
      </c>
      <c r="B1253" t="s">
        <v>2675</v>
      </c>
      <c r="C1253" t="str">
        <f>"11.51"</f>
        <v>11.51</v>
      </c>
      <c r="D1253" t="s">
        <v>2712</v>
      </c>
    </row>
    <row r="1254" spans="1:4" x14ac:dyDescent="0.55000000000000004">
      <c r="A1254" t="s">
        <v>2674</v>
      </c>
      <c r="B1254" t="s">
        <v>2675</v>
      </c>
      <c r="C1254" t="str">
        <f>"11.52"</f>
        <v>11.52</v>
      </c>
      <c r="D1254" t="s">
        <v>2713</v>
      </c>
    </row>
    <row r="1255" spans="1:4" x14ac:dyDescent="0.55000000000000004">
      <c r="A1255" t="s">
        <v>2674</v>
      </c>
      <c r="B1255" t="s">
        <v>2675</v>
      </c>
      <c r="C1255" t="str">
        <f>"11.521"</f>
        <v>11.521</v>
      </c>
      <c r="D1255" t="s">
        <v>2714</v>
      </c>
    </row>
    <row r="1256" spans="1:4" x14ac:dyDescent="0.55000000000000004">
      <c r="A1256" t="s">
        <v>2674</v>
      </c>
      <c r="B1256" t="s">
        <v>2675</v>
      </c>
      <c r="C1256" t="str">
        <f>"11.53"</f>
        <v>11.53</v>
      </c>
      <c r="D1256" t="s">
        <v>2715</v>
      </c>
    </row>
    <row r="1257" spans="1:4" x14ac:dyDescent="0.55000000000000004">
      <c r="A1257" t="s">
        <v>2674</v>
      </c>
      <c r="B1257" t="s">
        <v>2675</v>
      </c>
      <c r="C1257" t="str">
        <f>"11.531"</f>
        <v>11.531</v>
      </c>
      <c r="D1257" t="s">
        <v>2716</v>
      </c>
    </row>
    <row r="1258" spans="1:4" x14ac:dyDescent="0.55000000000000004">
      <c r="A1258" t="s">
        <v>2674</v>
      </c>
      <c r="B1258" t="s">
        <v>2675</v>
      </c>
      <c r="C1258" t="str">
        <f>"11.59"</f>
        <v>11.59</v>
      </c>
      <c r="D1258" t="s">
        <v>2717</v>
      </c>
    </row>
    <row r="1259" spans="1:4" x14ac:dyDescent="0.55000000000000004">
      <c r="A1259" t="s">
        <v>2674</v>
      </c>
      <c r="B1259" t="s">
        <v>2675</v>
      </c>
      <c r="C1259" t="str">
        <f>"12.00"</f>
        <v>12.00</v>
      </c>
      <c r="D1259" t="s">
        <v>2718</v>
      </c>
    </row>
    <row r="1260" spans="1:4" x14ac:dyDescent="0.55000000000000004">
      <c r="A1260" t="s">
        <v>2674</v>
      </c>
      <c r="B1260" t="s">
        <v>2675</v>
      </c>
      <c r="C1260" t="str">
        <f>"12.01"</f>
        <v>12.01</v>
      </c>
      <c r="D1260" t="s">
        <v>2719</v>
      </c>
    </row>
    <row r="1261" spans="1:4" x14ac:dyDescent="0.55000000000000004">
      <c r="A1261" t="s">
        <v>2674</v>
      </c>
      <c r="B1261" t="s">
        <v>2675</v>
      </c>
      <c r="C1261" t="str">
        <f>"12.02"</f>
        <v>12.02</v>
      </c>
      <c r="D1261" t="s">
        <v>2720</v>
      </c>
    </row>
    <row r="1262" spans="1:4" x14ac:dyDescent="0.55000000000000004">
      <c r="A1262" t="s">
        <v>2674</v>
      </c>
      <c r="B1262" t="s">
        <v>2675</v>
      </c>
      <c r="C1262" t="str">
        <f>"12.81"</f>
        <v>12.81</v>
      </c>
      <c r="D1262" t="s">
        <v>2721</v>
      </c>
    </row>
    <row r="1263" spans="1:4" x14ac:dyDescent="0.55000000000000004">
      <c r="A1263" t="s">
        <v>2674</v>
      </c>
      <c r="B1263" t="s">
        <v>2675</v>
      </c>
      <c r="C1263" t="str">
        <f>"12.82"</f>
        <v>12.82</v>
      </c>
      <c r="D1263" t="s">
        <v>2722</v>
      </c>
    </row>
    <row r="1264" spans="1:4" x14ac:dyDescent="0.55000000000000004">
      <c r="A1264" t="s">
        <v>2674</v>
      </c>
      <c r="B1264" t="s">
        <v>2675</v>
      </c>
      <c r="C1264" t="str">
        <f>"12.83"</f>
        <v>12.83</v>
      </c>
      <c r="D1264" t="s">
        <v>2723</v>
      </c>
    </row>
    <row r="1265" spans="1:4" x14ac:dyDescent="0.55000000000000004">
      <c r="A1265" t="s">
        <v>2674</v>
      </c>
      <c r="B1265" t="s">
        <v>2675</v>
      </c>
      <c r="C1265" t="str">
        <f>"12.91"</f>
        <v>12.91</v>
      </c>
      <c r="D1265" t="s">
        <v>2724</v>
      </c>
    </row>
    <row r="1266" spans="1:4" x14ac:dyDescent="0.55000000000000004">
      <c r="A1266" t="s">
        <v>2674</v>
      </c>
      <c r="B1266" t="s">
        <v>2675</v>
      </c>
      <c r="C1266" t="str">
        <f>"13.00"</f>
        <v>13.00</v>
      </c>
      <c r="D1266" t="s">
        <v>2725</v>
      </c>
    </row>
    <row r="1267" spans="1:4" x14ac:dyDescent="0.55000000000000004">
      <c r="A1267" t="s">
        <v>2674</v>
      </c>
      <c r="B1267" t="s">
        <v>2675</v>
      </c>
      <c r="C1267" t="str">
        <f>"13.01"</f>
        <v>13.01</v>
      </c>
      <c r="D1267" t="s">
        <v>2726</v>
      </c>
    </row>
    <row r="1268" spans="1:4" x14ac:dyDescent="0.55000000000000004">
      <c r="A1268" t="s">
        <v>2674</v>
      </c>
      <c r="B1268" t="s">
        <v>2675</v>
      </c>
      <c r="C1268" t="str">
        <f>"13.02"</f>
        <v>13.02</v>
      </c>
      <c r="D1268" t="s">
        <v>2727</v>
      </c>
    </row>
    <row r="1269" spans="1:4" x14ac:dyDescent="0.55000000000000004">
      <c r="A1269" t="s">
        <v>2674</v>
      </c>
      <c r="B1269" t="s">
        <v>2675</v>
      </c>
      <c r="C1269" t="str">
        <f>"13.90"</f>
        <v>13.90</v>
      </c>
      <c r="D1269" t="s">
        <v>2728</v>
      </c>
    </row>
    <row r="1270" spans="1:4" x14ac:dyDescent="0.55000000000000004">
      <c r="A1270" t="s">
        <v>2674</v>
      </c>
      <c r="B1270" t="s">
        <v>2675</v>
      </c>
      <c r="C1270" t="str">
        <f>"14.00"</f>
        <v>14.00</v>
      </c>
      <c r="D1270" t="s">
        <v>2729</v>
      </c>
    </row>
    <row r="1271" spans="1:4" x14ac:dyDescent="0.55000000000000004">
      <c r="A1271" t="s">
        <v>2674</v>
      </c>
      <c r="B1271" t="s">
        <v>2675</v>
      </c>
      <c r="C1271" t="str">
        <f>"14.01"</f>
        <v>14.01</v>
      </c>
      <c r="D1271" t="s">
        <v>2730</v>
      </c>
    </row>
    <row r="1272" spans="1:4" x14ac:dyDescent="0.55000000000000004">
      <c r="A1272" t="s">
        <v>2674</v>
      </c>
      <c r="B1272" t="s">
        <v>2675</v>
      </c>
      <c r="C1272" t="str">
        <f>"14.02"</f>
        <v>14.02</v>
      </c>
      <c r="D1272" t="s">
        <v>2731</v>
      </c>
    </row>
    <row r="1273" spans="1:4" x14ac:dyDescent="0.55000000000000004">
      <c r="A1273" t="s">
        <v>2674</v>
      </c>
      <c r="B1273" t="s">
        <v>2675</v>
      </c>
      <c r="C1273" t="str">
        <f>"14.31"</f>
        <v>14.31</v>
      </c>
      <c r="D1273" t="s">
        <v>2732</v>
      </c>
    </row>
    <row r="1274" spans="1:4" x14ac:dyDescent="0.55000000000000004">
      <c r="A1274" t="s">
        <v>2674</v>
      </c>
      <c r="B1274" t="s">
        <v>2675</v>
      </c>
      <c r="C1274" t="str">
        <f>"14.32"</f>
        <v>14.32</v>
      </c>
      <c r="D1274" t="s">
        <v>2733</v>
      </c>
    </row>
    <row r="1275" spans="1:4" x14ac:dyDescent="0.55000000000000004">
      <c r="A1275" t="s">
        <v>2674</v>
      </c>
      <c r="B1275" t="s">
        <v>2675</v>
      </c>
      <c r="C1275" t="str">
        <f>"14.33"</f>
        <v>14.33</v>
      </c>
      <c r="D1275" t="s">
        <v>2734</v>
      </c>
    </row>
    <row r="1276" spans="1:4" x14ac:dyDescent="0.55000000000000004">
      <c r="A1276" t="s">
        <v>2674</v>
      </c>
      <c r="B1276" t="s">
        <v>2675</v>
      </c>
      <c r="C1276" t="str">
        <f>"14.34"</f>
        <v>14.34</v>
      </c>
      <c r="D1276" t="s">
        <v>2735</v>
      </c>
    </row>
    <row r="1277" spans="1:4" x14ac:dyDescent="0.55000000000000004">
      <c r="A1277" t="s">
        <v>2674</v>
      </c>
      <c r="B1277" t="s">
        <v>2675</v>
      </c>
      <c r="C1277" t="str">
        <f>"14.35"</f>
        <v>14.35</v>
      </c>
      <c r="D1277" t="s">
        <v>2736</v>
      </c>
    </row>
    <row r="1278" spans="1:4" x14ac:dyDescent="0.55000000000000004">
      <c r="A1278" t="s">
        <v>2674</v>
      </c>
      <c r="B1278" t="s">
        <v>2675</v>
      </c>
      <c r="C1278" t="str">
        <f>"14.39"</f>
        <v>14.39</v>
      </c>
      <c r="D1278" t="s">
        <v>2737</v>
      </c>
    </row>
    <row r="1279" spans="1:4" x14ac:dyDescent="0.55000000000000004">
      <c r="A1279" t="s">
        <v>2674</v>
      </c>
      <c r="B1279" t="s">
        <v>2675</v>
      </c>
      <c r="C1279" t="str">
        <f>"16.1"</f>
        <v>16.1</v>
      </c>
      <c r="D1279" t="s">
        <v>2738</v>
      </c>
    </row>
    <row r="1280" spans="1:4" x14ac:dyDescent="0.55000000000000004">
      <c r="A1280" t="s">
        <v>2674</v>
      </c>
      <c r="B1280" t="s">
        <v>2675</v>
      </c>
      <c r="C1280" t="str">
        <f>"16.31"</f>
        <v>16.31</v>
      </c>
      <c r="D1280" t="s">
        <v>2739</v>
      </c>
    </row>
    <row r="1281" spans="1:4" x14ac:dyDescent="0.55000000000000004">
      <c r="A1281" t="s">
        <v>2674</v>
      </c>
      <c r="B1281" t="s">
        <v>2675</v>
      </c>
      <c r="C1281" t="str">
        <f>"16.39"</f>
        <v>16.39</v>
      </c>
      <c r="D1281" t="s">
        <v>2740</v>
      </c>
    </row>
    <row r="1282" spans="1:4" x14ac:dyDescent="0.55000000000000004">
      <c r="A1282" t="s">
        <v>2674</v>
      </c>
      <c r="B1282" t="s">
        <v>2675</v>
      </c>
      <c r="C1282" t="str">
        <f>"16.41"</f>
        <v>16.41</v>
      </c>
      <c r="D1282" t="s">
        <v>2741</v>
      </c>
    </row>
    <row r="1283" spans="1:4" x14ac:dyDescent="0.55000000000000004">
      <c r="A1283" t="s">
        <v>2674</v>
      </c>
      <c r="B1283" t="s">
        <v>2675</v>
      </c>
      <c r="C1283" t="str">
        <f>"16.42"</f>
        <v>16.42</v>
      </c>
      <c r="D1283" t="s">
        <v>2742</v>
      </c>
    </row>
    <row r="1284" spans="1:4" x14ac:dyDescent="0.55000000000000004">
      <c r="A1284" t="s">
        <v>2674</v>
      </c>
      <c r="B1284" t="s">
        <v>2675</v>
      </c>
      <c r="C1284" t="str">
        <f>"16.49"</f>
        <v>16.49</v>
      </c>
      <c r="D1284" t="s">
        <v>2743</v>
      </c>
    </row>
    <row r="1285" spans="1:4" x14ac:dyDescent="0.55000000000000004">
      <c r="A1285" t="s">
        <v>2674</v>
      </c>
      <c r="B1285" t="s">
        <v>2675</v>
      </c>
      <c r="C1285" t="str">
        <f>"16.81"</f>
        <v>16.81</v>
      </c>
      <c r="D1285" t="s">
        <v>2744</v>
      </c>
    </row>
    <row r="1286" spans="1:4" x14ac:dyDescent="0.55000000000000004">
      <c r="A1286" t="s">
        <v>2674</v>
      </c>
      <c r="B1286" t="s">
        <v>2675</v>
      </c>
      <c r="C1286" t="str">
        <f>"16.82"</f>
        <v>16.82</v>
      </c>
      <c r="D1286" t="s">
        <v>2745</v>
      </c>
    </row>
    <row r="1287" spans="1:4" x14ac:dyDescent="0.55000000000000004">
      <c r="A1287" t="s">
        <v>2674</v>
      </c>
      <c r="B1287" t="s">
        <v>2675</v>
      </c>
      <c r="C1287" t="str">
        <f>"16.89"</f>
        <v>16.89</v>
      </c>
      <c r="D1287" t="s">
        <v>2746</v>
      </c>
    </row>
    <row r="1288" spans="1:4" x14ac:dyDescent="0.55000000000000004">
      <c r="A1288" t="s">
        <v>2674</v>
      </c>
      <c r="B1288" t="s">
        <v>2675</v>
      </c>
      <c r="C1288" t="str">
        <f>"18.6"</f>
        <v>18.6</v>
      </c>
      <c r="D1288" t="s">
        <v>2747</v>
      </c>
    </row>
    <row r="1289" spans="1:4" x14ac:dyDescent="0.55000000000000004">
      <c r="A1289" t="s">
        <v>2674</v>
      </c>
      <c r="B1289" t="s">
        <v>2675</v>
      </c>
      <c r="C1289" t="str">
        <f>"18.71"</f>
        <v>18.71</v>
      </c>
      <c r="D1289" t="s">
        <v>2748</v>
      </c>
    </row>
    <row r="1290" spans="1:4" x14ac:dyDescent="0.55000000000000004">
      <c r="A1290" t="s">
        <v>2674</v>
      </c>
      <c r="B1290" t="s">
        <v>2675</v>
      </c>
      <c r="C1290" t="str">
        <f>"18.72"</f>
        <v>18.72</v>
      </c>
      <c r="D1290" t="s">
        <v>2749</v>
      </c>
    </row>
    <row r="1291" spans="1:4" x14ac:dyDescent="0.55000000000000004">
      <c r="A1291" t="s">
        <v>2674</v>
      </c>
      <c r="B1291" t="s">
        <v>2675</v>
      </c>
      <c r="C1291" t="str">
        <f>"18.79"</f>
        <v>18.79</v>
      </c>
      <c r="D1291" t="s">
        <v>2750</v>
      </c>
    </row>
    <row r="1292" spans="1:4" x14ac:dyDescent="0.55000000000000004">
      <c r="A1292" t="s">
        <v>2674</v>
      </c>
      <c r="B1292" t="s">
        <v>2675</v>
      </c>
      <c r="C1292" t="str">
        <f>"24.2"</f>
        <v>24.2</v>
      </c>
      <c r="D1292" t="s">
        <v>2751</v>
      </c>
    </row>
    <row r="1293" spans="1:4" x14ac:dyDescent="0.55000000000000004">
      <c r="A1293" t="s">
        <v>2674</v>
      </c>
      <c r="B1293" t="s">
        <v>2675</v>
      </c>
      <c r="C1293" t="str">
        <f>"24.5"</f>
        <v>24.5</v>
      </c>
      <c r="D1293" t="s">
        <v>2752</v>
      </c>
    </row>
    <row r="1294" spans="1:4" x14ac:dyDescent="0.55000000000000004">
      <c r="A1294" t="s">
        <v>2674</v>
      </c>
      <c r="B1294" t="s">
        <v>2675</v>
      </c>
      <c r="C1294" t="str">
        <f>"25.59"</f>
        <v>25.59</v>
      </c>
      <c r="D1294" t="s">
        <v>2753</v>
      </c>
    </row>
    <row r="1295" spans="1:4" x14ac:dyDescent="0.55000000000000004">
      <c r="A1295" t="s">
        <v>2674</v>
      </c>
      <c r="B1295" t="s">
        <v>2675</v>
      </c>
      <c r="C1295" t="str">
        <f>"26.41"</f>
        <v>26.41</v>
      </c>
      <c r="D1295" t="s">
        <v>2754</v>
      </c>
    </row>
    <row r="1296" spans="1:4" x14ac:dyDescent="0.55000000000000004">
      <c r="A1296" t="s">
        <v>2674</v>
      </c>
      <c r="B1296" t="s">
        <v>2675</v>
      </c>
      <c r="C1296" t="str">
        <f>"26.42"</f>
        <v>26.42</v>
      </c>
      <c r="D1296" t="s">
        <v>2755</v>
      </c>
    </row>
    <row r="1297" spans="1:4" x14ac:dyDescent="0.55000000000000004">
      <c r="A1297" t="s">
        <v>2674</v>
      </c>
      <c r="B1297" t="s">
        <v>2675</v>
      </c>
      <c r="C1297" t="str">
        <f>"26.49"</f>
        <v>26.49</v>
      </c>
      <c r="D1297" t="s">
        <v>2756</v>
      </c>
    </row>
    <row r="1298" spans="1:4" x14ac:dyDescent="0.55000000000000004">
      <c r="A1298" t="s">
        <v>2674</v>
      </c>
      <c r="B1298" t="s">
        <v>2675</v>
      </c>
      <c r="C1298" t="str">
        <f>"27.0"</f>
        <v>27.0</v>
      </c>
      <c r="D1298" t="s">
        <v>2757</v>
      </c>
    </row>
    <row r="1299" spans="1:4" x14ac:dyDescent="0.55000000000000004">
      <c r="A1299" t="s">
        <v>2674</v>
      </c>
      <c r="B1299" t="s">
        <v>2675</v>
      </c>
      <c r="C1299" t="str">
        <f>"27.53"</f>
        <v>27.53</v>
      </c>
      <c r="D1299" t="s">
        <v>2758</v>
      </c>
    </row>
    <row r="1300" spans="1:4" x14ac:dyDescent="0.55000000000000004">
      <c r="A1300" t="s">
        <v>2674</v>
      </c>
      <c r="B1300" t="s">
        <v>2675</v>
      </c>
      <c r="C1300" t="str">
        <f>"27.59"</f>
        <v>27.59</v>
      </c>
      <c r="D1300" t="s">
        <v>2759</v>
      </c>
    </row>
    <row r="1301" spans="1:4" x14ac:dyDescent="0.55000000000000004">
      <c r="A1301" t="s">
        <v>2674</v>
      </c>
      <c r="B1301" t="s">
        <v>2675</v>
      </c>
      <c r="C1301" t="str">
        <f>"27.61"</f>
        <v>27.61</v>
      </c>
      <c r="D1301" t="s">
        <v>2760</v>
      </c>
    </row>
    <row r="1302" spans="1:4" x14ac:dyDescent="0.55000000000000004">
      <c r="A1302" t="s">
        <v>2674</v>
      </c>
      <c r="B1302" t="s">
        <v>2675</v>
      </c>
      <c r="C1302" t="str">
        <f>"27.69"</f>
        <v>27.69</v>
      </c>
      <c r="D1302" t="s">
        <v>2761</v>
      </c>
    </row>
    <row r="1303" spans="1:4" x14ac:dyDescent="0.55000000000000004">
      <c r="A1303" t="s">
        <v>2674</v>
      </c>
      <c r="B1303" t="s">
        <v>2675</v>
      </c>
      <c r="C1303" t="str">
        <f>"27.73"</f>
        <v>27.73</v>
      </c>
      <c r="D1303" t="s">
        <v>2762</v>
      </c>
    </row>
    <row r="1304" spans="1:4" x14ac:dyDescent="0.55000000000000004">
      <c r="A1304" t="s">
        <v>2674</v>
      </c>
      <c r="B1304" t="s">
        <v>2675</v>
      </c>
      <c r="C1304" t="str">
        <f>"28.91"</f>
        <v>28.91</v>
      </c>
      <c r="D1304" t="s">
        <v>2763</v>
      </c>
    </row>
    <row r="1305" spans="1:4" x14ac:dyDescent="0.55000000000000004">
      <c r="A1305" t="s">
        <v>2674</v>
      </c>
      <c r="B1305" t="s">
        <v>2675</v>
      </c>
      <c r="C1305" t="str">
        <f>"29.0"</f>
        <v>29.0</v>
      </c>
      <c r="D1305" t="s">
        <v>2764</v>
      </c>
    </row>
    <row r="1306" spans="1:4" x14ac:dyDescent="0.55000000000000004">
      <c r="A1306" t="s">
        <v>2674</v>
      </c>
      <c r="B1306" t="s">
        <v>2675</v>
      </c>
      <c r="C1306" t="str">
        <f>"29.51"</f>
        <v>29.51</v>
      </c>
      <c r="D1306" t="s">
        <v>2765</v>
      </c>
    </row>
    <row r="1307" spans="1:4" x14ac:dyDescent="0.55000000000000004">
      <c r="A1307" t="s">
        <v>2674</v>
      </c>
      <c r="B1307" t="s">
        <v>2675</v>
      </c>
      <c r="C1307" t="str">
        <f>"29.59"</f>
        <v>29.59</v>
      </c>
      <c r="D1307" t="s">
        <v>2766</v>
      </c>
    </row>
    <row r="1308" spans="1:4" x14ac:dyDescent="0.55000000000000004">
      <c r="A1308" t="s">
        <v>2674</v>
      </c>
      <c r="B1308" t="s">
        <v>2675</v>
      </c>
      <c r="C1308" t="str">
        <f>"31.61"</f>
        <v>31.61</v>
      </c>
      <c r="D1308" t="s">
        <v>2767</v>
      </c>
    </row>
    <row r="1309" spans="1:4" x14ac:dyDescent="0.55000000000000004">
      <c r="A1309" t="s">
        <v>2674</v>
      </c>
      <c r="B1309" t="s">
        <v>2675</v>
      </c>
      <c r="C1309" t="str">
        <f>"31.64"</f>
        <v>31.64</v>
      </c>
      <c r="D1309" t="s">
        <v>2768</v>
      </c>
    </row>
    <row r="1310" spans="1:4" x14ac:dyDescent="0.55000000000000004">
      <c r="A1310" t="s">
        <v>2674</v>
      </c>
      <c r="B1310" t="s">
        <v>2675</v>
      </c>
      <c r="C1310" t="str">
        <f>"31.69"</f>
        <v>31.69</v>
      </c>
      <c r="D1310" t="s">
        <v>2769</v>
      </c>
    </row>
    <row r="1311" spans="1:4" x14ac:dyDescent="0.55000000000000004">
      <c r="A1311" t="s">
        <v>2674</v>
      </c>
      <c r="B1311" t="s">
        <v>2675</v>
      </c>
      <c r="C1311" t="str">
        <f>"31.71"</f>
        <v>31.71</v>
      </c>
      <c r="D1311" t="s">
        <v>2770</v>
      </c>
    </row>
    <row r="1312" spans="1:4" x14ac:dyDescent="0.55000000000000004">
      <c r="A1312" t="s">
        <v>2674</v>
      </c>
      <c r="B1312" t="s">
        <v>2675</v>
      </c>
      <c r="C1312" t="str">
        <f>"31.711"</f>
        <v>31.711</v>
      </c>
      <c r="D1312" t="s">
        <v>2771</v>
      </c>
    </row>
    <row r="1313" spans="1:4" x14ac:dyDescent="0.55000000000000004">
      <c r="A1313" t="s">
        <v>2674</v>
      </c>
      <c r="B1313" t="s">
        <v>2675</v>
      </c>
      <c r="C1313" t="str">
        <f>"31.712"</f>
        <v>31.712</v>
      </c>
      <c r="D1313" t="s">
        <v>2772</v>
      </c>
    </row>
    <row r="1314" spans="1:4" x14ac:dyDescent="0.55000000000000004">
      <c r="A1314" t="s">
        <v>2674</v>
      </c>
      <c r="B1314" t="s">
        <v>2675</v>
      </c>
      <c r="C1314" t="str">
        <f>"31.79"</f>
        <v>31.79</v>
      </c>
      <c r="D1314" t="s">
        <v>2773</v>
      </c>
    </row>
    <row r="1315" spans="1:4" x14ac:dyDescent="0.55000000000000004">
      <c r="A1315" t="s">
        <v>2674</v>
      </c>
      <c r="B1315" t="s">
        <v>2675</v>
      </c>
      <c r="C1315" t="str">
        <f>"39.30"</f>
        <v>39.30</v>
      </c>
      <c r="D1315" t="s">
        <v>2774</v>
      </c>
    </row>
    <row r="1316" spans="1:4" x14ac:dyDescent="0.55000000000000004">
      <c r="A1316" t="s">
        <v>2674</v>
      </c>
      <c r="B1316" t="s">
        <v>2675</v>
      </c>
      <c r="C1316" t="str">
        <f>"39.31"</f>
        <v>39.31</v>
      </c>
      <c r="D1316" t="s">
        <v>2775</v>
      </c>
    </row>
    <row r="1317" spans="1:4" x14ac:dyDescent="0.55000000000000004">
      <c r="A1317" t="s">
        <v>2674</v>
      </c>
      <c r="B1317" t="s">
        <v>2675</v>
      </c>
      <c r="C1317" t="str">
        <f>"39.32"</f>
        <v>39.32</v>
      </c>
      <c r="D1317" t="s">
        <v>2776</v>
      </c>
    </row>
    <row r="1318" spans="1:4" x14ac:dyDescent="0.55000000000000004">
      <c r="A1318" t="s">
        <v>2674</v>
      </c>
      <c r="B1318" t="s">
        <v>2675</v>
      </c>
      <c r="C1318" t="str">
        <f>"39.56"</f>
        <v>39.56</v>
      </c>
      <c r="D1318" t="s">
        <v>2777</v>
      </c>
    </row>
    <row r="1319" spans="1:4" x14ac:dyDescent="0.55000000000000004">
      <c r="A1319" t="s">
        <v>2674</v>
      </c>
      <c r="B1319" t="s">
        <v>2675</v>
      </c>
      <c r="C1319" t="str">
        <f>"39.57"</f>
        <v>39.57</v>
      </c>
      <c r="D1319" t="s">
        <v>2778</v>
      </c>
    </row>
    <row r="1320" spans="1:4" x14ac:dyDescent="0.55000000000000004">
      <c r="A1320" t="s">
        <v>2674</v>
      </c>
      <c r="B1320" t="s">
        <v>2675</v>
      </c>
      <c r="C1320" t="str">
        <f>"39.58"</f>
        <v>39.58</v>
      </c>
      <c r="D1320" t="s">
        <v>2779</v>
      </c>
    </row>
    <row r="1321" spans="1:4" x14ac:dyDescent="0.55000000000000004">
      <c r="A1321" t="s">
        <v>2674</v>
      </c>
      <c r="B1321" t="s">
        <v>2675</v>
      </c>
      <c r="C1321" t="str">
        <f>"39.59"</f>
        <v>39.59</v>
      </c>
      <c r="D1321" t="s">
        <v>2780</v>
      </c>
    </row>
    <row r="1322" spans="1:4" x14ac:dyDescent="0.55000000000000004">
      <c r="A1322" t="s">
        <v>2674</v>
      </c>
      <c r="B1322" t="s">
        <v>2675</v>
      </c>
      <c r="C1322" t="str">
        <f>"39.590"</f>
        <v>39.590</v>
      </c>
      <c r="D1322" t="s">
        <v>2781</v>
      </c>
    </row>
    <row r="1323" spans="1:4" x14ac:dyDescent="0.55000000000000004">
      <c r="A1323" t="s">
        <v>2674</v>
      </c>
      <c r="B1323" t="s">
        <v>2675</v>
      </c>
      <c r="C1323" t="str">
        <f>"39.591"</f>
        <v>39.591</v>
      </c>
      <c r="D1323" t="s">
        <v>2782</v>
      </c>
    </row>
    <row r="1324" spans="1:4" x14ac:dyDescent="0.55000000000000004">
      <c r="A1324" t="s">
        <v>2674</v>
      </c>
      <c r="B1324" t="s">
        <v>2675</v>
      </c>
      <c r="C1324" t="str">
        <f>"39.98"</f>
        <v>39.98</v>
      </c>
      <c r="D1324" t="s">
        <v>2783</v>
      </c>
    </row>
    <row r="1325" spans="1:4" x14ac:dyDescent="0.55000000000000004">
      <c r="A1325" t="s">
        <v>2674</v>
      </c>
      <c r="B1325" t="s">
        <v>2675</v>
      </c>
      <c r="C1325" t="str">
        <f>"77.29"</f>
        <v>77.29</v>
      </c>
      <c r="D1325" t="s">
        <v>2784</v>
      </c>
    </row>
    <row r="1326" spans="1:4" x14ac:dyDescent="0.55000000000000004">
      <c r="A1326" t="s">
        <v>2674</v>
      </c>
      <c r="B1326" t="s">
        <v>2675</v>
      </c>
      <c r="C1326" t="str">
        <f>"77.30"</f>
        <v>77.30</v>
      </c>
      <c r="D1326" t="s">
        <v>2785</v>
      </c>
    </row>
    <row r="1327" spans="1:4" x14ac:dyDescent="0.55000000000000004">
      <c r="A1327" t="s">
        <v>2674</v>
      </c>
      <c r="B1327" t="s">
        <v>2675</v>
      </c>
      <c r="C1327" t="str">
        <f>"77.39"</f>
        <v>77.39</v>
      </c>
      <c r="D1327" t="s">
        <v>2786</v>
      </c>
    </row>
    <row r="1328" spans="1:4" x14ac:dyDescent="0.55000000000000004">
      <c r="A1328" t="s">
        <v>2674</v>
      </c>
      <c r="B1328" t="s">
        <v>2675</v>
      </c>
      <c r="C1328" t="str">
        <f>"77.70"</f>
        <v>77.70</v>
      </c>
      <c r="D1328" t="s">
        <v>2787</v>
      </c>
    </row>
    <row r="1329" spans="1:4" x14ac:dyDescent="0.55000000000000004">
      <c r="A1329" t="s">
        <v>2674</v>
      </c>
      <c r="B1329" t="s">
        <v>2675</v>
      </c>
      <c r="C1329" t="str">
        <f>"77.79"</f>
        <v>77.79</v>
      </c>
      <c r="D1329" t="s">
        <v>2788</v>
      </c>
    </row>
    <row r="1330" spans="1:4" x14ac:dyDescent="0.55000000000000004">
      <c r="A1330" t="s">
        <v>2674</v>
      </c>
      <c r="B1330" t="s">
        <v>2675</v>
      </c>
      <c r="C1330" t="str">
        <f>"77.80"</f>
        <v>77.80</v>
      </c>
      <c r="D1330" t="s">
        <v>2789</v>
      </c>
    </row>
    <row r="1331" spans="1:4" x14ac:dyDescent="0.55000000000000004">
      <c r="A1331" t="s">
        <v>2674</v>
      </c>
      <c r="B1331" t="s">
        <v>2675</v>
      </c>
      <c r="C1331" t="str">
        <f>"77.89"</f>
        <v>77.89</v>
      </c>
      <c r="D1331" t="s">
        <v>2790</v>
      </c>
    </row>
    <row r="1332" spans="1:4" x14ac:dyDescent="0.55000000000000004">
      <c r="A1332" t="s">
        <v>2674</v>
      </c>
      <c r="B1332" t="s">
        <v>2675</v>
      </c>
      <c r="C1332" t="str">
        <f>"77.90"</f>
        <v>77.90</v>
      </c>
      <c r="D1332" t="s">
        <v>2791</v>
      </c>
    </row>
    <row r="1333" spans="1:4" x14ac:dyDescent="0.55000000000000004">
      <c r="A1333" t="s">
        <v>2674</v>
      </c>
      <c r="B1333" t="s">
        <v>2675</v>
      </c>
      <c r="C1333" t="str">
        <f>"77.99"</f>
        <v>77.99</v>
      </c>
      <c r="D1333" t="s">
        <v>2792</v>
      </c>
    </row>
    <row r="1334" spans="1:4" x14ac:dyDescent="0.55000000000000004">
      <c r="A1334" t="s">
        <v>2674</v>
      </c>
      <c r="B1334" t="s">
        <v>2675</v>
      </c>
      <c r="C1334" t="str">
        <f>"78.00"</f>
        <v>78.00</v>
      </c>
      <c r="D1334" t="s">
        <v>2793</v>
      </c>
    </row>
    <row r="1335" spans="1:4" x14ac:dyDescent="0.55000000000000004">
      <c r="A1335" t="s">
        <v>2674</v>
      </c>
      <c r="B1335" t="s">
        <v>2675</v>
      </c>
      <c r="C1335" t="str">
        <f>"78.09"</f>
        <v>78.09</v>
      </c>
      <c r="D1335" t="s">
        <v>2794</v>
      </c>
    </row>
    <row r="1336" spans="1:4" x14ac:dyDescent="0.55000000000000004">
      <c r="A1336" t="s">
        <v>2674</v>
      </c>
      <c r="B1336" t="s">
        <v>2675</v>
      </c>
      <c r="C1336" t="str">
        <f>"78.10"</f>
        <v>78.10</v>
      </c>
      <c r="D1336" t="s">
        <v>2795</v>
      </c>
    </row>
    <row r="1337" spans="1:4" x14ac:dyDescent="0.55000000000000004">
      <c r="A1337" t="s">
        <v>2674</v>
      </c>
      <c r="B1337" t="s">
        <v>2675</v>
      </c>
      <c r="C1337" t="str">
        <f>"78.19"</f>
        <v>78.19</v>
      </c>
      <c r="D1337" t="s">
        <v>2796</v>
      </c>
    </row>
    <row r="1338" spans="1:4" x14ac:dyDescent="0.55000000000000004">
      <c r="A1338" t="s">
        <v>2674</v>
      </c>
      <c r="B1338" t="s">
        <v>2675</v>
      </c>
      <c r="C1338" t="str">
        <f>"78.40"</f>
        <v>78.40</v>
      </c>
      <c r="D1338" t="s">
        <v>2797</v>
      </c>
    </row>
    <row r="1339" spans="1:4" x14ac:dyDescent="0.55000000000000004">
      <c r="A1339" t="s">
        <v>2674</v>
      </c>
      <c r="B1339" t="s">
        <v>2675</v>
      </c>
      <c r="C1339" t="str">
        <f>"78.49"</f>
        <v>78.49</v>
      </c>
      <c r="D1339" t="s">
        <v>2798</v>
      </c>
    </row>
    <row r="1340" spans="1:4" x14ac:dyDescent="0.55000000000000004">
      <c r="A1340" t="s">
        <v>2674</v>
      </c>
      <c r="B1340" t="s">
        <v>2675</v>
      </c>
      <c r="C1340" t="str">
        <f>"78.50"</f>
        <v>78.50</v>
      </c>
      <c r="D1340" t="s">
        <v>2799</v>
      </c>
    </row>
    <row r="1341" spans="1:4" x14ac:dyDescent="0.55000000000000004">
      <c r="A1341" t="s">
        <v>2674</v>
      </c>
      <c r="B1341" t="s">
        <v>2675</v>
      </c>
      <c r="C1341" t="str">
        <f>"78.59"</f>
        <v>78.59</v>
      </c>
      <c r="D1341" t="s">
        <v>2800</v>
      </c>
    </row>
    <row r="1342" spans="1:4" x14ac:dyDescent="0.55000000000000004">
      <c r="A1342" t="s">
        <v>2674</v>
      </c>
      <c r="B1342" t="s">
        <v>2675</v>
      </c>
      <c r="C1342" t="str">
        <f>"78.60"</f>
        <v>78.60</v>
      </c>
      <c r="D1342" t="s">
        <v>2801</v>
      </c>
    </row>
    <row r="1343" spans="1:4" x14ac:dyDescent="0.55000000000000004">
      <c r="A1343" t="s">
        <v>2674</v>
      </c>
      <c r="B1343" t="s">
        <v>2675</v>
      </c>
      <c r="C1343" t="str">
        <f>"78.69"</f>
        <v>78.69</v>
      </c>
      <c r="D1343" t="s">
        <v>2802</v>
      </c>
    </row>
    <row r="1344" spans="1:4" x14ac:dyDescent="0.55000000000000004">
      <c r="A1344" t="s">
        <v>2674</v>
      </c>
      <c r="B1344" t="s">
        <v>2675</v>
      </c>
      <c r="C1344" t="str">
        <f>"78.90"</f>
        <v>78.90</v>
      </c>
      <c r="D1344" t="s">
        <v>2803</v>
      </c>
    </row>
    <row r="1345" spans="1:4" x14ac:dyDescent="0.55000000000000004">
      <c r="A1345" t="s">
        <v>2674</v>
      </c>
      <c r="B1345" t="s">
        <v>2675</v>
      </c>
      <c r="C1345" t="str">
        <f>"78.99"</f>
        <v>78.99</v>
      </c>
      <c r="D1345" t="s">
        <v>2804</v>
      </c>
    </row>
    <row r="1346" spans="1:4" x14ac:dyDescent="0.55000000000000004">
      <c r="A1346" t="s">
        <v>2674</v>
      </c>
      <c r="B1346" t="s">
        <v>2675</v>
      </c>
      <c r="C1346" t="str">
        <f>"79.10"</f>
        <v>79.10</v>
      </c>
      <c r="D1346" t="s">
        <v>2805</v>
      </c>
    </row>
    <row r="1347" spans="1:4" x14ac:dyDescent="0.55000000000000004">
      <c r="A1347" t="s">
        <v>2674</v>
      </c>
      <c r="B1347" t="s">
        <v>2675</v>
      </c>
      <c r="C1347" t="str">
        <f>"79.19"</f>
        <v>79.19</v>
      </c>
      <c r="D1347" t="s">
        <v>2806</v>
      </c>
    </row>
    <row r="1348" spans="1:4" x14ac:dyDescent="0.55000000000000004">
      <c r="A1348" t="s">
        <v>2674</v>
      </c>
      <c r="B1348" t="s">
        <v>2675</v>
      </c>
      <c r="C1348" t="str">
        <f>"79.20"</f>
        <v>79.20</v>
      </c>
      <c r="D1348" t="s">
        <v>2807</v>
      </c>
    </row>
    <row r="1349" spans="1:4" x14ac:dyDescent="0.55000000000000004">
      <c r="A1349" t="s">
        <v>2674</v>
      </c>
      <c r="B1349" t="s">
        <v>2675</v>
      </c>
      <c r="C1349" t="str">
        <f>"79.29"</f>
        <v>79.29</v>
      </c>
      <c r="D1349" t="s">
        <v>2808</v>
      </c>
    </row>
    <row r="1350" spans="1:4" x14ac:dyDescent="0.55000000000000004">
      <c r="A1350" t="s">
        <v>2674</v>
      </c>
      <c r="B1350" t="s">
        <v>2675</v>
      </c>
      <c r="C1350" t="str">
        <f>"79.30"</f>
        <v>79.30</v>
      </c>
      <c r="D1350" t="s">
        <v>2809</v>
      </c>
    </row>
    <row r="1351" spans="1:4" x14ac:dyDescent="0.55000000000000004">
      <c r="A1351" t="s">
        <v>2674</v>
      </c>
      <c r="B1351" t="s">
        <v>2675</v>
      </c>
      <c r="C1351" t="str">
        <f>"79.39"</f>
        <v>79.39</v>
      </c>
      <c r="D1351" t="s">
        <v>2810</v>
      </c>
    </row>
    <row r="1352" spans="1:4" x14ac:dyDescent="0.55000000000000004">
      <c r="A1352" t="s">
        <v>2674</v>
      </c>
      <c r="B1352" t="s">
        <v>2675</v>
      </c>
      <c r="C1352" t="str">
        <f>"79.40"</f>
        <v>79.40</v>
      </c>
      <c r="D1352" t="s">
        <v>2811</v>
      </c>
    </row>
    <row r="1353" spans="1:4" x14ac:dyDescent="0.55000000000000004">
      <c r="A1353" t="s">
        <v>2674</v>
      </c>
      <c r="B1353" t="s">
        <v>2675</v>
      </c>
      <c r="C1353" t="str">
        <f>"79.49"</f>
        <v>79.49</v>
      </c>
      <c r="D1353" t="s">
        <v>2812</v>
      </c>
    </row>
    <row r="1354" spans="1:4" x14ac:dyDescent="0.55000000000000004">
      <c r="A1354" t="s">
        <v>2674</v>
      </c>
      <c r="B1354" t="s">
        <v>2675</v>
      </c>
      <c r="C1354" t="str">
        <f>"79.50"</f>
        <v>79.50</v>
      </c>
      <c r="D1354" t="s">
        <v>2813</v>
      </c>
    </row>
    <row r="1355" spans="1:4" x14ac:dyDescent="0.55000000000000004">
      <c r="A1355" t="s">
        <v>2674</v>
      </c>
      <c r="B1355" t="s">
        <v>2675</v>
      </c>
      <c r="C1355" t="str">
        <f>"79.59"</f>
        <v>79.59</v>
      </c>
      <c r="D1355" t="s">
        <v>2814</v>
      </c>
    </row>
    <row r="1356" spans="1:4" x14ac:dyDescent="0.55000000000000004">
      <c r="A1356" t="s">
        <v>2674</v>
      </c>
      <c r="B1356" t="s">
        <v>2675</v>
      </c>
      <c r="C1356" t="str">
        <f>"79.60"</f>
        <v>79.60</v>
      </c>
      <c r="D1356" t="s">
        <v>2815</v>
      </c>
    </row>
    <row r="1357" spans="1:4" x14ac:dyDescent="0.55000000000000004">
      <c r="A1357" t="s">
        <v>2674</v>
      </c>
      <c r="B1357" t="s">
        <v>2675</v>
      </c>
      <c r="C1357" t="str">
        <f>"79.69"</f>
        <v>79.69</v>
      </c>
      <c r="D1357" t="s">
        <v>2816</v>
      </c>
    </row>
    <row r="1358" spans="1:4" x14ac:dyDescent="0.55000000000000004">
      <c r="A1358" t="s">
        <v>2674</v>
      </c>
      <c r="B1358" t="s">
        <v>2675</v>
      </c>
      <c r="C1358" t="str">
        <f>"79.80"</f>
        <v>79.80</v>
      </c>
      <c r="D1358" t="s">
        <v>2817</v>
      </c>
    </row>
    <row r="1359" spans="1:4" x14ac:dyDescent="0.55000000000000004">
      <c r="A1359" t="s">
        <v>2674</v>
      </c>
      <c r="B1359" t="s">
        <v>2675</v>
      </c>
      <c r="C1359" t="str">
        <f>"79.89"</f>
        <v>79.89</v>
      </c>
      <c r="D1359" t="s">
        <v>2818</v>
      </c>
    </row>
    <row r="1360" spans="1:4" x14ac:dyDescent="0.55000000000000004">
      <c r="A1360" t="s">
        <v>2674</v>
      </c>
      <c r="B1360" t="s">
        <v>2675</v>
      </c>
      <c r="C1360" t="str">
        <f>"79.90"</f>
        <v>79.90</v>
      </c>
      <c r="D1360" t="s">
        <v>2819</v>
      </c>
    </row>
    <row r="1361" spans="1:4" x14ac:dyDescent="0.55000000000000004">
      <c r="A1361" t="s">
        <v>2674</v>
      </c>
      <c r="B1361" t="s">
        <v>2675</v>
      </c>
      <c r="C1361" t="str">
        <f>"79.99"</f>
        <v>79.99</v>
      </c>
      <c r="D1361" t="s">
        <v>2820</v>
      </c>
    </row>
    <row r="1362" spans="1:4" x14ac:dyDescent="0.55000000000000004">
      <c r="A1362" t="s">
        <v>2674</v>
      </c>
      <c r="B1362" t="s">
        <v>2675</v>
      </c>
      <c r="C1362" t="str">
        <f>"80.10"</f>
        <v>80.10</v>
      </c>
      <c r="D1362" t="s">
        <v>2821</v>
      </c>
    </row>
    <row r="1363" spans="1:4" x14ac:dyDescent="0.55000000000000004">
      <c r="A1363" t="s">
        <v>2674</v>
      </c>
      <c r="B1363" t="s">
        <v>2675</v>
      </c>
      <c r="C1363" t="str">
        <f>"80.19"</f>
        <v>80.19</v>
      </c>
      <c r="D1363" t="s">
        <v>2822</v>
      </c>
    </row>
    <row r="1364" spans="1:4" x14ac:dyDescent="0.55000000000000004">
      <c r="A1364" t="s">
        <v>2674</v>
      </c>
      <c r="B1364" t="s">
        <v>2675</v>
      </c>
      <c r="C1364" t="str">
        <f>"80.20"</f>
        <v>80.20</v>
      </c>
      <c r="D1364" t="s">
        <v>2823</v>
      </c>
    </row>
    <row r="1365" spans="1:4" x14ac:dyDescent="0.55000000000000004">
      <c r="A1365" t="s">
        <v>2674</v>
      </c>
      <c r="B1365" t="s">
        <v>2675</v>
      </c>
      <c r="C1365" t="str">
        <f>"80.29"</f>
        <v>80.29</v>
      </c>
      <c r="D1365" t="s">
        <v>2824</v>
      </c>
    </row>
    <row r="1366" spans="1:4" x14ac:dyDescent="0.55000000000000004">
      <c r="A1366" t="s">
        <v>2674</v>
      </c>
      <c r="B1366" t="s">
        <v>2675</v>
      </c>
      <c r="C1366" t="str">
        <f>"80.70"</f>
        <v>80.70</v>
      </c>
      <c r="D1366" t="s">
        <v>2825</v>
      </c>
    </row>
    <row r="1367" spans="1:4" x14ac:dyDescent="0.55000000000000004">
      <c r="A1367" t="s">
        <v>2674</v>
      </c>
      <c r="B1367" t="s">
        <v>2675</v>
      </c>
      <c r="C1367" t="str">
        <f>"80.79"</f>
        <v>80.79</v>
      </c>
      <c r="D1367" t="s">
        <v>2826</v>
      </c>
    </row>
    <row r="1368" spans="1:4" x14ac:dyDescent="0.55000000000000004">
      <c r="A1368" t="s">
        <v>2674</v>
      </c>
      <c r="B1368" t="s">
        <v>2675</v>
      </c>
      <c r="C1368" t="str">
        <f>"80.80"</f>
        <v>80.80</v>
      </c>
      <c r="D1368" t="s">
        <v>2827</v>
      </c>
    </row>
    <row r="1369" spans="1:4" x14ac:dyDescent="0.55000000000000004">
      <c r="A1369" t="s">
        <v>2674</v>
      </c>
      <c r="B1369" t="s">
        <v>2675</v>
      </c>
      <c r="C1369" t="str">
        <f>"80.89"</f>
        <v>80.89</v>
      </c>
      <c r="D1369" t="s">
        <v>2828</v>
      </c>
    </row>
    <row r="1370" spans="1:4" x14ac:dyDescent="0.55000000000000004">
      <c r="A1370" t="s">
        <v>2674</v>
      </c>
      <c r="B1370" t="s">
        <v>2675</v>
      </c>
      <c r="C1370" t="str">
        <f>"80.90"</f>
        <v>80.90</v>
      </c>
      <c r="D1370" t="s">
        <v>2829</v>
      </c>
    </row>
    <row r="1371" spans="1:4" x14ac:dyDescent="0.55000000000000004">
      <c r="A1371" t="s">
        <v>2674</v>
      </c>
      <c r="B1371" t="s">
        <v>2675</v>
      </c>
      <c r="C1371" t="str">
        <f>"80.99"</f>
        <v>80.99</v>
      </c>
      <c r="D1371" t="s">
        <v>2830</v>
      </c>
    </row>
    <row r="1372" spans="1:4" x14ac:dyDescent="0.55000000000000004">
      <c r="A1372" t="s">
        <v>2674</v>
      </c>
      <c r="B1372" t="s">
        <v>2675</v>
      </c>
      <c r="C1372" t="str">
        <f>"81.20"</f>
        <v>81.20</v>
      </c>
      <c r="D1372" t="s">
        <v>2831</v>
      </c>
    </row>
    <row r="1373" spans="1:4" x14ac:dyDescent="0.55000000000000004">
      <c r="A1373" t="s">
        <v>2674</v>
      </c>
      <c r="B1373" t="s">
        <v>2675</v>
      </c>
      <c r="C1373" t="str">
        <f>"81.29"</f>
        <v>81.29</v>
      </c>
      <c r="D1373" t="s">
        <v>2832</v>
      </c>
    </row>
    <row r="1374" spans="1:4" x14ac:dyDescent="0.55000000000000004">
      <c r="A1374" t="s">
        <v>2674</v>
      </c>
      <c r="B1374" t="s">
        <v>2675</v>
      </c>
      <c r="C1374" t="str">
        <f>"83.01"</f>
        <v>83.01</v>
      </c>
      <c r="D1374" t="s">
        <v>2833</v>
      </c>
    </row>
    <row r="1375" spans="1:4" x14ac:dyDescent="0.55000000000000004">
      <c r="A1375" t="s">
        <v>2674</v>
      </c>
      <c r="B1375" t="s">
        <v>2675</v>
      </c>
      <c r="C1375" t="str">
        <f>"83.02"</f>
        <v>83.02</v>
      </c>
      <c r="D1375" t="s">
        <v>2834</v>
      </c>
    </row>
    <row r="1376" spans="1:4" x14ac:dyDescent="0.55000000000000004">
      <c r="A1376" t="s">
        <v>2674</v>
      </c>
      <c r="B1376" t="s">
        <v>2675</v>
      </c>
      <c r="C1376" t="str">
        <f>"83.03"</f>
        <v>83.03</v>
      </c>
      <c r="D1376" t="s">
        <v>2835</v>
      </c>
    </row>
    <row r="1377" spans="1:4" x14ac:dyDescent="0.55000000000000004">
      <c r="A1377" t="s">
        <v>2674</v>
      </c>
      <c r="B1377" t="s">
        <v>2675</v>
      </c>
      <c r="C1377" t="str">
        <f>"83.09"</f>
        <v>83.09</v>
      </c>
      <c r="D1377" t="s">
        <v>2836</v>
      </c>
    </row>
    <row r="1378" spans="1:4" x14ac:dyDescent="0.55000000000000004">
      <c r="A1378" t="s">
        <v>2674</v>
      </c>
      <c r="B1378" t="s">
        <v>2675</v>
      </c>
      <c r="C1378" t="str">
        <f>"83.13"</f>
        <v>83.13</v>
      </c>
      <c r="D1378" t="s">
        <v>2837</v>
      </c>
    </row>
    <row r="1379" spans="1:4" x14ac:dyDescent="0.55000000000000004">
      <c r="A1379" t="s">
        <v>2674</v>
      </c>
      <c r="B1379" t="s">
        <v>2675</v>
      </c>
      <c r="C1379" t="str">
        <f>"83.14"</f>
        <v>83.14</v>
      </c>
      <c r="D1379" t="s">
        <v>2838</v>
      </c>
    </row>
    <row r="1380" spans="1:4" x14ac:dyDescent="0.55000000000000004">
      <c r="A1380" t="s">
        <v>2674</v>
      </c>
      <c r="B1380" t="s">
        <v>2675</v>
      </c>
      <c r="C1380" t="str">
        <f>"83.15"</f>
        <v>83.15</v>
      </c>
      <c r="D1380" t="s">
        <v>2839</v>
      </c>
    </row>
    <row r="1381" spans="1:4" x14ac:dyDescent="0.55000000000000004">
      <c r="A1381" t="s">
        <v>2674</v>
      </c>
      <c r="B1381" t="s">
        <v>2675</v>
      </c>
      <c r="C1381" t="str">
        <f>"83.19"</f>
        <v>83.19</v>
      </c>
      <c r="D1381" t="s">
        <v>2840</v>
      </c>
    </row>
    <row r="1382" spans="1:4" x14ac:dyDescent="0.55000000000000004">
      <c r="A1382" t="s">
        <v>2674</v>
      </c>
      <c r="B1382" t="s">
        <v>2675</v>
      </c>
      <c r="C1382" t="str">
        <f>"83.61"</f>
        <v>83.61</v>
      </c>
      <c r="D1382" t="s">
        <v>2841</v>
      </c>
    </row>
    <row r="1383" spans="1:4" x14ac:dyDescent="0.55000000000000004">
      <c r="A1383" t="s">
        <v>2674</v>
      </c>
      <c r="B1383" t="s">
        <v>2675</v>
      </c>
      <c r="C1383" t="str">
        <f>"83.62"</f>
        <v>83.62</v>
      </c>
      <c r="D1383" t="s">
        <v>2842</v>
      </c>
    </row>
    <row r="1384" spans="1:4" x14ac:dyDescent="0.55000000000000004">
      <c r="A1384" t="s">
        <v>2674</v>
      </c>
      <c r="B1384" t="s">
        <v>2675</v>
      </c>
      <c r="C1384" t="str">
        <f>"83.64"</f>
        <v>83.64</v>
      </c>
      <c r="D1384" t="s">
        <v>2843</v>
      </c>
    </row>
    <row r="1385" spans="1:4" x14ac:dyDescent="0.55000000000000004">
      <c r="A1385" t="s">
        <v>2674</v>
      </c>
      <c r="B1385" t="s">
        <v>2675</v>
      </c>
      <c r="C1385" t="str">
        <f>"83.65"</f>
        <v>83.65</v>
      </c>
      <c r="D1385" t="s">
        <v>2844</v>
      </c>
    </row>
    <row r="1386" spans="1:4" x14ac:dyDescent="0.55000000000000004">
      <c r="A1386" t="s">
        <v>2674</v>
      </c>
      <c r="B1386" t="s">
        <v>2675</v>
      </c>
      <c r="C1386" t="str">
        <f>"83.71"</f>
        <v>83.71</v>
      </c>
      <c r="D1386" t="s">
        <v>2845</v>
      </c>
    </row>
    <row r="1387" spans="1:4" x14ac:dyDescent="0.55000000000000004">
      <c r="A1387" t="s">
        <v>2674</v>
      </c>
      <c r="B1387" t="s">
        <v>2675</v>
      </c>
      <c r="C1387" t="str">
        <f>"83.72"</f>
        <v>83.72</v>
      </c>
      <c r="D1387" t="s">
        <v>2846</v>
      </c>
    </row>
    <row r="1388" spans="1:4" x14ac:dyDescent="0.55000000000000004">
      <c r="A1388" t="s">
        <v>2674</v>
      </c>
      <c r="B1388" t="s">
        <v>2675</v>
      </c>
      <c r="C1388" t="str">
        <f>"83.73"</f>
        <v>83.73</v>
      </c>
      <c r="D1388" t="s">
        <v>2847</v>
      </c>
    </row>
    <row r="1389" spans="1:4" x14ac:dyDescent="0.55000000000000004">
      <c r="A1389" t="s">
        <v>2674</v>
      </c>
      <c r="B1389" t="s">
        <v>2675</v>
      </c>
      <c r="C1389" t="str">
        <f>"83.74"</f>
        <v>83.74</v>
      </c>
      <c r="D1389" t="s">
        <v>2848</v>
      </c>
    </row>
    <row r="1390" spans="1:4" x14ac:dyDescent="0.55000000000000004">
      <c r="A1390" t="s">
        <v>2674</v>
      </c>
      <c r="B1390" t="s">
        <v>2675</v>
      </c>
      <c r="C1390" t="str">
        <f>"83.75"</f>
        <v>83.75</v>
      </c>
      <c r="D1390" t="s">
        <v>2849</v>
      </c>
    </row>
    <row r="1391" spans="1:4" x14ac:dyDescent="0.55000000000000004">
      <c r="A1391" t="s">
        <v>2674</v>
      </c>
      <c r="B1391" t="s">
        <v>2675</v>
      </c>
      <c r="C1391" t="str">
        <f>"83.76"</f>
        <v>83.76</v>
      </c>
      <c r="D1391" t="s">
        <v>2850</v>
      </c>
    </row>
    <row r="1392" spans="1:4" x14ac:dyDescent="0.55000000000000004">
      <c r="A1392" t="s">
        <v>2674</v>
      </c>
      <c r="B1392" t="s">
        <v>2675</v>
      </c>
      <c r="C1392" t="str">
        <f>"83.77"</f>
        <v>83.77</v>
      </c>
      <c r="D1392" t="s">
        <v>2851</v>
      </c>
    </row>
    <row r="1393" spans="1:4" x14ac:dyDescent="0.55000000000000004">
      <c r="A1393" t="s">
        <v>2674</v>
      </c>
      <c r="B1393" t="s">
        <v>2675</v>
      </c>
      <c r="C1393" t="str">
        <f>"83.79"</f>
        <v>83.79</v>
      </c>
      <c r="D1393" t="s">
        <v>2852</v>
      </c>
    </row>
    <row r="1394" spans="1:4" x14ac:dyDescent="0.55000000000000004">
      <c r="A1394" t="s">
        <v>2674</v>
      </c>
      <c r="B1394" t="s">
        <v>2675</v>
      </c>
      <c r="C1394" t="str">
        <f>"83.81"</f>
        <v>83.81</v>
      </c>
      <c r="D1394" t="s">
        <v>2853</v>
      </c>
    </row>
    <row r="1395" spans="1:4" x14ac:dyDescent="0.55000000000000004">
      <c r="A1395" t="s">
        <v>2674</v>
      </c>
      <c r="B1395" t="s">
        <v>2675</v>
      </c>
      <c r="C1395" t="str">
        <f>"83.82"</f>
        <v>83.82</v>
      </c>
      <c r="D1395" t="s">
        <v>2854</v>
      </c>
    </row>
    <row r="1396" spans="1:4" x14ac:dyDescent="0.55000000000000004">
      <c r="A1396" t="s">
        <v>2674</v>
      </c>
      <c r="B1396" t="s">
        <v>2675</v>
      </c>
      <c r="C1396" t="str">
        <f>"83.83"</f>
        <v>83.83</v>
      </c>
      <c r="D1396" t="s">
        <v>2855</v>
      </c>
    </row>
    <row r="1397" spans="1:4" x14ac:dyDescent="0.55000000000000004">
      <c r="A1397" t="s">
        <v>2674</v>
      </c>
      <c r="B1397" t="s">
        <v>2675</v>
      </c>
      <c r="C1397" t="str">
        <f>"84.29"</f>
        <v>84.29</v>
      </c>
      <c r="D1397" t="s">
        <v>2856</v>
      </c>
    </row>
    <row r="1398" spans="1:4" x14ac:dyDescent="0.55000000000000004">
      <c r="A1398" t="s">
        <v>2674</v>
      </c>
      <c r="B1398" t="s">
        <v>2675</v>
      </c>
      <c r="C1398" t="str">
        <f>"84.3"</f>
        <v>84.3</v>
      </c>
      <c r="D1398" t="s">
        <v>2857</v>
      </c>
    </row>
    <row r="1399" spans="1:4" x14ac:dyDescent="0.55000000000000004">
      <c r="A1399" t="s">
        <v>2674</v>
      </c>
      <c r="B1399" t="s">
        <v>2675</v>
      </c>
      <c r="C1399" t="str">
        <f>"84.81"</f>
        <v>84.81</v>
      </c>
      <c r="D1399" t="s">
        <v>2858</v>
      </c>
    </row>
    <row r="1400" spans="1:4" x14ac:dyDescent="0.55000000000000004">
      <c r="A1400" t="s">
        <v>2674</v>
      </c>
      <c r="B1400" t="s">
        <v>2675</v>
      </c>
      <c r="C1400" t="str">
        <f>"84.83"</f>
        <v>84.83</v>
      </c>
      <c r="D1400" t="s">
        <v>2859</v>
      </c>
    </row>
    <row r="1401" spans="1:4" x14ac:dyDescent="0.55000000000000004">
      <c r="A1401" t="s">
        <v>2674</v>
      </c>
      <c r="B1401" t="s">
        <v>2675</v>
      </c>
      <c r="C1401" t="str">
        <f>"84.85"</f>
        <v>84.85</v>
      </c>
      <c r="D1401" t="s">
        <v>2860</v>
      </c>
    </row>
    <row r="1402" spans="1:4" x14ac:dyDescent="0.55000000000000004">
      <c r="A1402" t="s">
        <v>2674</v>
      </c>
      <c r="B1402" t="s">
        <v>2675</v>
      </c>
      <c r="C1402" t="str">
        <f>"84.91"</f>
        <v>84.91</v>
      </c>
      <c r="D1402" t="s">
        <v>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 10</vt:lpstr>
      <vt:lpstr>ICD9CM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jamkesdua</dc:creator>
  <cp:lastModifiedBy>jamkesdua</cp:lastModifiedBy>
  <dcterms:created xsi:type="dcterms:W3CDTF">2026-10-09T02:10:36Z</dcterms:created>
  <dcterms:modified xsi:type="dcterms:W3CDTF">2026-10-09T02:18:13Z</dcterms:modified>
</cp:coreProperties>
</file>